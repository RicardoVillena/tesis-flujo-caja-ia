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8_{0679FDA5-7E48-4B09-B9AE-3E63B19F7A1C}" xr6:coauthVersionLast="47" xr6:coauthVersionMax="47" xr10:uidLastSave="{00000000-0000-0000-0000-000000000000}"/>
  <bookViews>
    <workbookView xWindow="-108" yWindow="-108" windowWidth="23256" windowHeight="13896" xr2:uid="{E3629EF6-7B2D-4383-8039-2490FDDE5C97}"/>
  </bookViews>
  <sheets>
    <sheet name="ESF - Evaluacion Vertical y hor" sheetId="2" r:id="rId1"/>
    <sheet name="Evaluacion vertical y horizon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59" i="2" l="1"/>
  <c r="AE59" i="2"/>
  <c r="AD59" i="2"/>
  <c r="AC59" i="2"/>
  <c r="AB59" i="2"/>
  <c r="AA59" i="2"/>
  <c r="Z59" i="2"/>
  <c r="Y59" i="2"/>
  <c r="X59" i="2"/>
  <c r="V59" i="2"/>
  <c r="U59" i="2"/>
  <c r="T59" i="2"/>
  <c r="S59" i="2"/>
  <c r="R59" i="2"/>
  <c r="Q59" i="2"/>
  <c r="P59" i="2"/>
  <c r="O59" i="2"/>
  <c r="N59" i="2"/>
  <c r="M59" i="2"/>
  <c r="AF58" i="2"/>
  <c r="AE58" i="2"/>
  <c r="AD58" i="2"/>
  <c r="AC58" i="2"/>
  <c r="AB58" i="2"/>
  <c r="AA58" i="2"/>
  <c r="Z58" i="2"/>
  <c r="Y58" i="2"/>
  <c r="X58" i="2"/>
  <c r="V58" i="2"/>
  <c r="U58" i="2"/>
  <c r="T58" i="2"/>
  <c r="S58" i="2"/>
  <c r="R58" i="2"/>
  <c r="Q58" i="2"/>
  <c r="P58" i="2"/>
  <c r="O58" i="2"/>
  <c r="N58" i="2"/>
  <c r="M58" i="2"/>
  <c r="AF57" i="2"/>
  <c r="AE57" i="2"/>
  <c r="AD57" i="2"/>
  <c r="AC57" i="2"/>
  <c r="AB57" i="2"/>
  <c r="AA57" i="2"/>
  <c r="Z57" i="2"/>
  <c r="Y57" i="2"/>
  <c r="X57" i="2"/>
  <c r="V57" i="2"/>
  <c r="U57" i="2"/>
  <c r="T57" i="2"/>
  <c r="S57" i="2"/>
  <c r="R57" i="2"/>
  <c r="Q57" i="2"/>
  <c r="P57" i="2"/>
  <c r="O57" i="2"/>
  <c r="N57" i="2"/>
  <c r="M57" i="2"/>
  <c r="AF56" i="2"/>
  <c r="AE56" i="2"/>
  <c r="AD56" i="2"/>
  <c r="AC56" i="2"/>
  <c r="AB56" i="2"/>
  <c r="AA56" i="2"/>
  <c r="Z56" i="2"/>
  <c r="Y56" i="2"/>
  <c r="X56" i="2"/>
  <c r="V56" i="2"/>
  <c r="U56" i="2"/>
  <c r="T56" i="2"/>
  <c r="S56" i="2"/>
  <c r="R56" i="2"/>
  <c r="Q56" i="2"/>
  <c r="P56" i="2"/>
  <c r="O56" i="2"/>
  <c r="N56" i="2"/>
  <c r="M56" i="2"/>
  <c r="AF55" i="2"/>
  <c r="AE55" i="2"/>
  <c r="AD55" i="2"/>
  <c r="AC55" i="2"/>
  <c r="AB55" i="2"/>
  <c r="AA55" i="2"/>
  <c r="Z55" i="2"/>
  <c r="Y55" i="2"/>
  <c r="X55" i="2"/>
  <c r="V55" i="2"/>
  <c r="U55" i="2"/>
  <c r="T55" i="2"/>
  <c r="S55" i="2"/>
  <c r="R55" i="2"/>
  <c r="Q55" i="2"/>
  <c r="P55" i="2"/>
  <c r="O55" i="2"/>
  <c r="N55" i="2"/>
  <c r="M55" i="2"/>
  <c r="AF54" i="2"/>
  <c r="AE54" i="2"/>
  <c r="AD54" i="2"/>
  <c r="AC54" i="2"/>
  <c r="AB54" i="2"/>
  <c r="AA54" i="2"/>
  <c r="Z54" i="2"/>
  <c r="Y54" i="2"/>
  <c r="X54" i="2"/>
  <c r="V54" i="2"/>
  <c r="U54" i="2"/>
  <c r="T54" i="2"/>
  <c r="S54" i="2"/>
  <c r="R54" i="2"/>
  <c r="Q54" i="2"/>
  <c r="P54" i="2"/>
  <c r="O54" i="2"/>
  <c r="N54" i="2"/>
  <c r="M54" i="2"/>
  <c r="AF53" i="2"/>
  <c r="AE53" i="2"/>
  <c r="AD53" i="2"/>
  <c r="AC53" i="2"/>
  <c r="AB53" i="2"/>
  <c r="AA53" i="2"/>
  <c r="Z53" i="2"/>
  <c r="Y53" i="2"/>
  <c r="X53" i="2"/>
  <c r="V53" i="2"/>
  <c r="U53" i="2"/>
  <c r="T53" i="2"/>
  <c r="S53" i="2"/>
  <c r="R53" i="2"/>
  <c r="Q53" i="2"/>
  <c r="P53" i="2"/>
  <c r="O53" i="2"/>
  <c r="N53" i="2"/>
  <c r="M53" i="2"/>
  <c r="AF52" i="2"/>
  <c r="AE52" i="2"/>
  <c r="AD52" i="2"/>
  <c r="AC52" i="2"/>
  <c r="AB52" i="2"/>
  <c r="AA52" i="2"/>
  <c r="Z52" i="2"/>
  <c r="Y52" i="2"/>
  <c r="X52" i="2"/>
  <c r="V52" i="2"/>
  <c r="U52" i="2"/>
  <c r="T52" i="2"/>
  <c r="S52" i="2"/>
  <c r="R52" i="2"/>
  <c r="Q52" i="2"/>
  <c r="P52" i="2"/>
  <c r="O52" i="2"/>
  <c r="N52" i="2"/>
  <c r="M52" i="2"/>
  <c r="AF50" i="2"/>
  <c r="AE50" i="2"/>
  <c r="AD50" i="2"/>
  <c r="AC50" i="2"/>
  <c r="AB50" i="2"/>
  <c r="AA50" i="2"/>
  <c r="Z50" i="2"/>
  <c r="Y50" i="2"/>
  <c r="X50" i="2"/>
  <c r="V50" i="2"/>
  <c r="U50" i="2"/>
  <c r="T50" i="2"/>
  <c r="S50" i="2"/>
  <c r="R50" i="2"/>
  <c r="Q50" i="2"/>
  <c r="P50" i="2"/>
  <c r="O50" i="2"/>
  <c r="N50" i="2"/>
  <c r="M50" i="2"/>
  <c r="AF49" i="2"/>
  <c r="AE49" i="2"/>
  <c r="AD49" i="2"/>
  <c r="AC49" i="2"/>
  <c r="AB49" i="2"/>
  <c r="AA49" i="2"/>
  <c r="Z49" i="2"/>
  <c r="Y49" i="2"/>
  <c r="X49" i="2"/>
  <c r="V49" i="2"/>
  <c r="U49" i="2"/>
  <c r="T49" i="2"/>
  <c r="S49" i="2"/>
  <c r="R49" i="2"/>
  <c r="Q49" i="2"/>
  <c r="P49" i="2"/>
  <c r="O49" i="2"/>
  <c r="N49" i="2"/>
  <c r="M49" i="2"/>
  <c r="AF48" i="2"/>
  <c r="AE48" i="2"/>
  <c r="AD48" i="2"/>
  <c r="AC48" i="2"/>
  <c r="AB48" i="2"/>
  <c r="AA48" i="2"/>
  <c r="Z48" i="2"/>
  <c r="Y48" i="2"/>
  <c r="X48" i="2"/>
  <c r="V48" i="2"/>
  <c r="U48" i="2"/>
  <c r="T48" i="2"/>
  <c r="S48" i="2"/>
  <c r="R48" i="2"/>
  <c r="Q48" i="2"/>
  <c r="P48" i="2"/>
  <c r="O48" i="2"/>
  <c r="N48" i="2"/>
  <c r="M48" i="2"/>
  <c r="AF47" i="2"/>
  <c r="AE47" i="2"/>
  <c r="AD47" i="2"/>
  <c r="AC47" i="2"/>
  <c r="AB47" i="2"/>
  <c r="AA47" i="2"/>
  <c r="Z47" i="2"/>
  <c r="Y47" i="2"/>
  <c r="X47" i="2"/>
  <c r="V47" i="2"/>
  <c r="U47" i="2"/>
  <c r="T47" i="2"/>
  <c r="S47" i="2"/>
  <c r="R47" i="2"/>
  <c r="Q47" i="2"/>
  <c r="P47" i="2"/>
  <c r="O47" i="2"/>
  <c r="N47" i="2"/>
  <c r="M47" i="2"/>
  <c r="AF46" i="2"/>
  <c r="AE46" i="2"/>
  <c r="AD46" i="2"/>
  <c r="AC46" i="2"/>
  <c r="AB46" i="2"/>
  <c r="AA46" i="2"/>
  <c r="Z46" i="2"/>
  <c r="Y46" i="2"/>
  <c r="X46" i="2"/>
  <c r="V46" i="2"/>
  <c r="U46" i="2"/>
  <c r="T46" i="2"/>
  <c r="S46" i="2"/>
  <c r="R46" i="2"/>
  <c r="Q46" i="2"/>
  <c r="P46" i="2"/>
  <c r="O46" i="2"/>
  <c r="N46" i="2"/>
  <c r="M46" i="2"/>
  <c r="AF45" i="2"/>
  <c r="AE45" i="2"/>
  <c r="AD45" i="2"/>
  <c r="AC45" i="2"/>
  <c r="AB45" i="2"/>
  <c r="AA45" i="2"/>
  <c r="Z45" i="2"/>
  <c r="Y45" i="2"/>
  <c r="X45" i="2"/>
  <c r="V45" i="2"/>
  <c r="U45" i="2"/>
  <c r="T45" i="2"/>
  <c r="S45" i="2"/>
  <c r="R45" i="2"/>
  <c r="Q45" i="2"/>
  <c r="P45" i="2"/>
  <c r="O45" i="2"/>
  <c r="N45" i="2"/>
  <c r="M45" i="2"/>
  <c r="AF44" i="2"/>
  <c r="AE44" i="2"/>
  <c r="AD44" i="2"/>
  <c r="AC44" i="2"/>
  <c r="AB44" i="2"/>
  <c r="AA44" i="2"/>
  <c r="Z44" i="2"/>
  <c r="Y44" i="2"/>
  <c r="X44" i="2"/>
  <c r="V44" i="2"/>
  <c r="U44" i="2"/>
  <c r="T44" i="2"/>
  <c r="S44" i="2"/>
  <c r="R44" i="2"/>
  <c r="Q44" i="2"/>
  <c r="P44" i="2"/>
  <c r="O44" i="2"/>
  <c r="N44" i="2"/>
  <c r="M44" i="2"/>
  <c r="AF42" i="2"/>
  <c r="AE42" i="2"/>
  <c r="AD42" i="2"/>
  <c r="AC42" i="2"/>
  <c r="AB42" i="2"/>
  <c r="AA42" i="2"/>
  <c r="Z42" i="2"/>
  <c r="Y42" i="2"/>
  <c r="X42" i="2"/>
  <c r="V42" i="2"/>
  <c r="U42" i="2"/>
  <c r="T42" i="2"/>
  <c r="S42" i="2"/>
  <c r="R42" i="2"/>
  <c r="Q42" i="2"/>
  <c r="P42" i="2"/>
  <c r="O42" i="2"/>
  <c r="N42" i="2"/>
  <c r="M42" i="2"/>
  <c r="AF41" i="2"/>
  <c r="AE41" i="2"/>
  <c r="AD41" i="2"/>
  <c r="AC41" i="2"/>
  <c r="AB41" i="2"/>
  <c r="AA41" i="2"/>
  <c r="Z41" i="2"/>
  <c r="Y41" i="2"/>
  <c r="X41" i="2"/>
  <c r="V41" i="2"/>
  <c r="U41" i="2"/>
  <c r="T41" i="2"/>
  <c r="S41" i="2"/>
  <c r="R41" i="2"/>
  <c r="Q41" i="2"/>
  <c r="P41" i="2"/>
  <c r="O41" i="2"/>
  <c r="N41" i="2"/>
  <c r="M41" i="2"/>
  <c r="AF40" i="2"/>
  <c r="AE40" i="2"/>
  <c r="AD40" i="2"/>
  <c r="AC40" i="2"/>
  <c r="AB40" i="2"/>
  <c r="AA40" i="2"/>
  <c r="Z40" i="2"/>
  <c r="Y40" i="2"/>
  <c r="X40" i="2"/>
  <c r="V40" i="2"/>
  <c r="U40" i="2"/>
  <c r="T40" i="2"/>
  <c r="S40" i="2"/>
  <c r="R40" i="2"/>
  <c r="Q40" i="2"/>
  <c r="P40" i="2"/>
  <c r="O40" i="2"/>
  <c r="N40" i="2"/>
  <c r="M40" i="2"/>
  <c r="AF39" i="2"/>
  <c r="AE39" i="2"/>
  <c r="AD39" i="2"/>
  <c r="AC39" i="2"/>
  <c r="AB39" i="2"/>
  <c r="AA39" i="2"/>
  <c r="Z39" i="2"/>
  <c r="Y39" i="2"/>
  <c r="X39" i="2"/>
  <c r="V39" i="2"/>
  <c r="U39" i="2"/>
  <c r="T39" i="2"/>
  <c r="S39" i="2"/>
  <c r="R39" i="2"/>
  <c r="Q39" i="2"/>
  <c r="P39" i="2"/>
  <c r="O39" i="2"/>
  <c r="N39" i="2"/>
  <c r="M39" i="2"/>
  <c r="AF38" i="2"/>
  <c r="AE38" i="2"/>
  <c r="AD38" i="2"/>
  <c r="AC38" i="2"/>
  <c r="AB38" i="2"/>
  <c r="AA38" i="2"/>
  <c r="Z38" i="2"/>
  <c r="Y38" i="2"/>
  <c r="X38" i="2"/>
  <c r="V38" i="2"/>
  <c r="U38" i="2"/>
  <c r="T38" i="2"/>
  <c r="S38" i="2"/>
  <c r="R38" i="2"/>
  <c r="Q38" i="2"/>
  <c r="P38" i="2"/>
  <c r="O38" i="2"/>
  <c r="N38" i="2"/>
  <c r="M38" i="2"/>
  <c r="AF37" i="2"/>
  <c r="AE37" i="2"/>
  <c r="AD37" i="2"/>
  <c r="AC37" i="2"/>
  <c r="AB37" i="2"/>
  <c r="AA37" i="2"/>
  <c r="Z37" i="2"/>
  <c r="Y37" i="2"/>
  <c r="X37" i="2"/>
  <c r="V37" i="2"/>
  <c r="U37" i="2"/>
  <c r="T37" i="2"/>
  <c r="S37" i="2"/>
  <c r="R37" i="2"/>
  <c r="Q37" i="2"/>
  <c r="P37" i="2"/>
  <c r="O37" i="2"/>
  <c r="N37" i="2"/>
  <c r="M37" i="2"/>
  <c r="AF36" i="2"/>
  <c r="AE36" i="2"/>
  <c r="AD36" i="2"/>
  <c r="AC36" i="2"/>
  <c r="AB36" i="2"/>
  <c r="AA36" i="2"/>
  <c r="Z36" i="2"/>
  <c r="Y36" i="2"/>
  <c r="X36" i="2"/>
  <c r="V36" i="2"/>
  <c r="U36" i="2"/>
  <c r="T36" i="2"/>
  <c r="S36" i="2"/>
  <c r="R36" i="2"/>
  <c r="Q36" i="2"/>
  <c r="P36" i="2"/>
  <c r="O36" i="2"/>
  <c r="N36" i="2"/>
  <c r="M36" i="2"/>
  <c r="AF35" i="2"/>
  <c r="AE35" i="2"/>
  <c r="AD35" i="2"/>
  <c r="AC35" i="2"/>
  <c r="AB35" i="2"/>
  <c r="AA35" i="2"/>
  <c r="Z35" i="2"/>
  <c r="Y35" i="2"/>
  <c r="X35" i="2"/>
  <c r="V35" i="2"/>
  <c r="U35" i="2"/>
  <c r="T35" i="2"/>
  <c r="S35" i="2"/>
  <c r="R35" i="2"/>
  <c r="Q35" i="2"/>
  <c r="P35" i="2"/>
  <c r="O35" i="2"/>
  <c r="N35" i="2"/>
  <c r="M35" i="2"/>
  <c r="AF32" i="2"/>
  <c r="AE32" i="2"/>
  <c r="AD32" i="2"/>
  <c r="AC32" i="2"/>
  <c r="AB32" i="2"/>
  <c r="AA32" i="2"/>
  <c r="Z32" i="2"/>
  <c r="Y32" i="2"/>
  <c r="X32" i="2"/>
  <c r="V32" i="2"/>
  <c r="U32" i="2"/>
  <c r="T32" i="2"/>
  <c r="S32" i="2"/>
  <c r="R32" i="2"/>
  <c r="Q32" i="2"/>
  <c r="P32" i="2"/>
  <c r="O32" i="2"/>
  <c r="N32" i="2"/>
  <c r="M32" i="2"/>
  <c r="AF31" i="2"/>
  <c r="AE31" i="2"/>
  <c r="AD31" i="2"/>
  <c r="AC31" i="2"/>
  <c r="AB31" i="2"/>
  <c r="AA31" i="2"/>
  <c r="Z31" i="2"/>
  <c r="Y31" i="2"/>
  <c r="X31" i="2"/>
  <c r="V31" i="2"/>
  <c r="U31" i="2"/>
  <c r="T31" i="2"/>
  <c r="S31" i="2"/>
  <c r="R31" i="2"/>
  <c r="Q31" i="2"/>
  <c r="P31" i="2"/>
  <c r="O31" i="2"/>
  <c r="N31" i="2"/>
  <c r="M31" i="2"/>
  <c r="AF30" i="2"/>
  <c r="AE30" i="2"/>
  <c r="AD30" i="2"/>
  <c r="AC30" i="2"/>
  <c r="AB30" i="2"/>
  <c r="AA30" i="2"/>
  <c r="Z30" i="2"/>
  <c r="Y30" i="2"/>
  <c r="X30" i="2"/>
  <c r="V30" i="2"/>
  <c r="U30" i="2"/>
  <c r="T30" i="2"/>
  <c r="S30" i="2"/>
  <c r="R30" i="2"/>
  <c r="Q30" i="2"/>
  <c r="P30" i="2"/>
  <c r="O30" i="2"/>
  <c r="N30" i="2"/>
  <c r="M30" i="2"/>
  <c r="AF29" i="2"/>
  <c r="AE29" i="2"/>
  <c r="AD29" i="2"/>
  <c r="AC29" i="2"/>
  <c r="AB29" i="2"/>
  <c r="AA29" i="2"/>
  <c r="Z29" i="2"/>
  <c r="Y29" i="2"/>
  <c r="X29" i="2"/>
  <c r="V29" i="2"/>
  <c r="U29" i="2"/>
  <c r="T29" i="2"/>
  <c r="S29" i="2"/>
  <c r="R29" i="2"/>
  <c r="Q29" i="2"/>
  <c r="P29" i="2"/>
  <c r="O29" i="2"/>
  <c r="N29" i="2"/>
  <c r="M29" i="2"/>
  <c r="AF28" i="2"/>
  <c r="AE28" i="2"/>
  <c r="AD28" i="2"/>
  <c r="AC28" i="2"/>
  <c r="AB28" i="2"/>
  <c r="AA28" i="2"/>
  <c r="Z28" i="2"/>
  <c r="Y28" i="2"/>
  <c r="X28" i="2"/>
  <c r="V28" i="2"/>
  <c r="U28" i="2"/>
  <c r="T28" i="2"/>
  <c r="S28" i="2"/>
  <c r="R28" i="2"/>
  <c r="Q28" i="2"/>
  <c r="P28" i="2"/>
  <c r="O28" i="2"/>
  <c r="N28" i="2"/>
  <c r="M28" i="2"/>
  <c r="AF27" i="2"/>
  <c r="AE27" i="2"/>
  <c r="AD27" i="2"/>
  <c r="AC27" i="2"/>
  <c r="AB27" i="2"/>
  <c r="AA27" i="2"/>
  <c r="Z27" i="2"/>
  <c r="Y27" i="2"/>
  <c r="X27" i="2"/>
  <c r="V27" i="2"/>
  <c r="U27" i="2"/>
  <c r="T27" i="2"/>
  <c r="S27" i="2"/>
  <c r="R27" i="2"/>
  <c r="Q27" i="2"/>
  <c r="P27" i="2"/>
  <c r="O27" i="2"/>
  <c r="N27" i="2"/>
  <c r="M27" i="2"/>
  <c r="AF26" i="2"/>
  <c r="AE26" i="2"/>
  <c r="AD26" i="2"/>
  <c r="AC26" i="2"/>
  <c r="AB26" i="2"/>
  <c r="AA26" i="2"/>
  <c r="Z26" i="2"/>
  <c r="Y26" i="2"/>
  <c r="X26" i="2"/>
  <c r="V26" i="2"/>
  <c r="U26" i="2"/>
  <c r="T26" i="2"/>
  <c r="S26" i="2"/>
  <c r="R26" i="2"/>
  <c r="Q26" i="2"/>
  <c r="P26" i="2"/>
  <c r="O26" i="2"/>
  <c r="N26" i="2"/>
  <c r="M26" i="2"/>
  <c r="AF25" i="2"/>
  <c r="AE25" i="2"/>
  <c r="AD25" i="2"/>
  <c r="AC25" i="2"/>
  <c r="AB25" i="2"/>
  <c r="AA25" i="2"/>
  <c r="Z25" i="2"/>
  <c r="Y25" i="2"/>
  <c r="X25" i="2"/>
  <c r="V25" i="2"/>
  <c r="U25" i="2"/>
  <c r="T25" i="2"/>
  <c r="S25" i="2"/>
  <c r="R25" i="2"/>
  <c r="Q25" i="2"/>
  <c r="P25" i="2"/>
  <c r="O25" i="2"/>
  <c r="N25" i="2"/>
  <c r="M25" i="2"/>
  <c r="AF24" i="2"/>
  <c r="AE24" i="2"/>
  <c r="AD24" i="2"/>
  <c r="AC24" i="2"/>
  <c r="AB24" i="2"/>
  <c r="AA24" i="2"/>
  <c r="Z24" i="2"/>
  <c r="Y24" i="2"/>
  <c r="X24" i="2"/>
  <c r="V24" i="2"/>
  <c r="U24" i="2"/>
  <c r="T24" i="2"/>
  <c r="S24" i="2"/>
  <c r="R24" i="2"/>
  <c r="Q24" i="2"/>
  <c r="P24" i="2"/>
  <c r="O24" i="2"/>
  <c r="N24" i="2"/>
  <c r="M24" i="2"/>
  <c r="AF23" i="2"/>
  <c r="AE23" i="2"/>
  <c r="AD23" i="2"/>
  <c r="AC23" i="2"/>
  <c r="AB23" i="2"/>
  <c r="AA23" i="2"/>
  <c r="Z23" i="2"/>
  <c r="Y23" i="2"/>
  <c r="X23" i="2"/>
  <c r="V23" i="2"/>
  <c r="U23" i="2"/>
  <c r="T23" i="2"/>
  <c r="S23" i="2"/>
  <c r="R23" i="2"/>
  <c r="Q23" i="2"/>
  <c r="P23" i="2"/>
  <c r="O23" i="2"/>
  <c r="N23" i="2"/>
  <c r="M23" i="2"/>
  <c r="AF22" i="2"/>
  <c r="AE22" i="2"/>
  <c r="AD22" i="2"/>
  <c r="AC22" i="2"/>
  <c r="AB22" i="2"/>
  <c r="AA22" i="2"/>
  <c r="Z22" i="2"/>
  <c r="Y22" i="2"/>
  <c r="X22" i="2"/>
  <c r="V22" i="2"/>
  <c r="U22" i="2"/>
  <c r="T22" i="2"/>
  <c r="S22" i="2"/>
  <c r="R22" i="2"/>
  <c r="Q22" i="2"/>
  <c r="P22" i="2"/>
  <c r="O22" i="2"/>
  <c r="N22" i="2"/>
  <c r="M22" i="2"/>
  <c r="AF20" i="2"/>
  <c r="AE20" i="2"/>
  <c r="AD20" i="2"/>
  <c r="AC20" i="2"/>
  <c r="AB20" i="2"/>
  <c r="AA20" i="2"/>
  <c r="Z20" i="2"/>
  <c r="Y20" i="2"/>
  <c r="X20" i="2"/>
  <c r="V20" i="2"/>
  <c r="U20" i="2"/>
  <c r="T20" i="2"/>
  <c r="S20" i="2"/>
  <c r="R20" i="2"/>
  <c r="Q20" i="2"/>
  <c r="P20" i="2"/>
  <c r="O20" i="2"/>
  <c r="N20" i="2"/>
  <c r="M20" i="2"/>
  <c r="AF19" i="2"/>
  <c r="AE19" i="2"/>
  <c r="AD19" i="2"/>
  <c r="AC19" i="2"/>
  <c r="AB19" i="2"/>
  <c r="AA19" i="2"/>
  <c r="Z19" i="2"/>
  <c r="Y19" i="2"/>
  <c r="X19" i="2"/>
  <c r="V19" i="2"/>
  <c r="U19" i="2"/>
  <c r="T19" i="2"/>
  <c r="S19" i="2"/>
  <c r="R19" i="2"/>
  <c r="Q19" i="2"/>
  <c r="P19" i="2"/>
  <c r="O19" i="2"/>
  <c r="N19" i="2"/>
  <c r="M19" i="2"/>
  <c r="AF18" i="2"/>
  <c r="AE18" i="2"/>
  <c r="AD18" i="2"/>
  <c r="AC18" i="2"/>
  <c r="AB18" i="2"/>
  <c r="AA18" i="2"/>
  <c r="Z18" i="2"/>
  <c r="Y18" i="2"/>
  <c r="X18" i="2"/>
  <c r="V18" i="2"/>
  <c r="U18" i="2"/>
  <c r="T18" i="2"/>
  <c r="S18" i="2"/>
  <c r="R18" i="2"/>
  <c r="Q18" i="2"/>
  <c r="P18" i="2"/>
  <c r="O18" i="2"/>
  <c r="N18" i="2"/>
  <c r="M18" i="2"/>
  <c r="AF17" i="2"/>
  <c r="AE17" i="2"/>
  <c r="AD17" i="2"/>
  <c r="AC17" i="2"/>
  <c r="AB17" i="2"/>
  <c r="AA17" i="2"/>
  <c r="Z17" i="2"/>
  <c r="Y17" i="2"/>
  <c r="X17" i="2"/>
  <c r="V17" i="2"/>
  <c r="U17" i="2"/>
  <c r="T17" i="2"/>
  <c r="S17" i="2"/>
  <c r="R17" i="2"/>
  <c r="Q17" i="2"/>
  <c r="P17" i="2"/>
  <c r="O17" i="2"/>
  <c r="N17" i="2"/>
  <c r="M17" i="2"/>
  <c r="AF16" i="2"/>
  <c r="AE16" i="2"/>
  <c r="AD16" i="2"/>
  <c r="AC16" i="2"/>
  <c r="AB16" i="2"/>
  <c r="AA16" i="2"/>
  <c r="Z16" i="2"/>
  <c r="Y16" i="2"/>
  <c r="X16" i="2"/>
  <c r="V16" i="2"/>
  <c r="U16" i="2"/>
  <c r="T16" i="2"/>
  <c r="S16" i="2"/>
  <c r="R16" i="2"/>
  <c r="Q16" i="2"/>
  <c r="P16" i="2"/>
  <c r="O16" i="2"/>
  <c r="N16" i="2"/>
  <c r="M16" i="2"/>
  <c r="AF15" i="2"/>
  <c r="AE15" i="2"/>
  <c r="AD15" i="2"/>
  <c r="AC15" i="2"/>
  <c r="AB15" i="2"/>
  <c r="AA15" i="2"/>
  <c r="Z15" i="2"/>
  <c r="Y15" i="2"/>
  <c r="X15" i="2"/>
  <c r="V15" i="2"/>
  <c r="U15" i="2"/>
  <c r="T15" i="2"/>
  <c r="S15" i="2"/>
  <c r="R15" i="2"/>
  <c r="Q15" i="2"/>
  <c r="P15" i="2"/>
  <c r="O15" i="2"/>
  <c r="N15" i="2"/>
  <c r="M15" i="2"/>
  <c r="AF14" i="2"/>
  <c r="AE14" i="2"/>
  <c r="AD14" i="2"/>
  <c r="AC14" i="2"/>
  <c r="AB14" i="2"/>
  <c r="AA14" i="2"/>
  <c r="Z14" i="2"/>
  <c r="Y14" i="2"/>
  <c r="X14" i="2"/>
  <c r="V14" i="2"/>
  <c r="U14" i="2"/>
  <c r="T14" i="2"/>
  <c r="S14" i="2"/>
  <c r="R14" i="2"/>
  <c r="Q14" i="2"/>
  <c r="P14" i="2"/>
  <c r="O14" i="2"/>
  <c r="N14" i="2"/>
  <c r="M14" i="2"/>
  <c r="AF13" i="2"/>
  <c r="AE13" i="2"/>
  <c r="AD13" i="2"/>
  <c r="AC13" i="2"/>
  <c r="AB13" i="2"/>
  <c r="AA13" i="2"/>
  <c r="Z13" i="2"/>
  <c r="Y13" i="2"/>
  <c r="X13" i="2"/>
  <c r="V13" i="2"/>
  <c r="U13" i="2"/>
  <c r="T13" i="2"/>
  <c r="S13" i="2"/>
  <c r="R13" i="2"/>
  <c r="Q13" i="2"/>
  <c r="P13" i="2"/>
  <c r="O13" i="2"/>
  <c r="N13" i="2"/>
  <c r="M13" i="2"/>
  <c r="AF12" i="2"/>
  <c r="AE12" i="2"/>
  <c r="AD12" i="2"/>
  <c r="AC12" i="2"/>
  <c r="AB12" i="2"/>
  <c r="AA12" i="2"/>
  <c r="Z12" i="2"/>
  <c r="Y12" i="2"/>
  <c r="X12" i="2"/>
  <c r="V12" i="2"/>
  <c r="U12" i="2"/>
  <c r="T12" i="2"/>
  <c r="S12" i="2"/>
  <c r="R12" i="2"/>
  <c r="Q12" i="2"/>
  <c r="P12" i="2"/>
  <c r="O12" i="2"/>
  <c r="N12" i="2"/>
  <c r="M12" i="2"/>
  <c r="AF11" i="2"/>
  <c r="AE11" i="2"/>
  <c r="AD11" i="2"/>
  <c r="AC11" i="2"/>
  <c r="AB11" i="2"/>
  <c r="AA11" i="2"/>
  <c r="Z11" i="2"/>
  <c r="Y11" i="2"/>
  <c r="X11" i="2"/>
  <c r="V11" i="2"/>
  <c r="U11" i="2"/>
  <c r="T11" i="2"/>
  <c r="S11" i="2"/>
  <c r="R11" i="2"/>
  <c r="Q11" i="2"/>
  <c r="P11" i="2"/>
  <c r="O11" i="2"/>
  <c r="N11" i="2"/>
  <c r="M11" i="2"/>
  <c r="AF10" i="2"/>
  <c r="AE10" i="2"/>
  <c r="AD10" i="2"/>
  <c r="AC10" i="2"/>
  <c r="AB10" i="2"/>
  <c r="AA10" i="2"/>
  <c r="Z10" i="2"/>
  <c r="Y10" i="2"/>
  <c r="X10" i="2"/>
  <c r="V10" i="2"/>
  <c r="U10" i="2"/>
  <c r="T10" i="2"/>
  <c r="S10" i="2"/>
  <c r="R10" i="2"/>
  <c r="Q10" i="2"/>
  <c r="P10" i="2"/>
  <c r="O10" i="2"/>
  <c r="N10" i="2"/>
  <c r="M10" i="2"/>
  <c r="AF9" i="2"/>
  <c r="AE9" i="2"/>
  <c r="AD9" i="2"/>
  <c r="AC9" i="2"/>
  <c r="AB9" i="2"/>
  <c r="AA9" i="2"/>
  <c r="Z9" i="2"/>
  <c r="Y9" i="2"/>
  <c r="X9" i="2"/>
  <c r="V9" i="2"/>
  <c r="U9" i="2"/>
  <c r="T9" i="2"/>
  <c r="S9" i="2"/>
  <c r="R9" i="2"/>
  <c r="Q9" i="2"/>
  <c r="P9" i="2"/>
  <c r="O9" i="2"/>
  <c r="N9" i="2"/>
  <c r="M9" i="2"/>
  <c r="AB108" i="1" l="1"/>
  <c r="AA108" i="1"/>
  <c r="Z108" i="1"/>
  <c r="Y108" i="1"/>
  <c r="X108" i="1"/>
  <c r="W108" i="1"/>
  <c r="V108" i="1"/>
  <c r="U108" i="1"/>
  <c r="T108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B106" i="1"/>
  <c r="AA106" i="1"/>
  <c r="Z106" i="1"/>
  <c r="Y106" i="1"/>
  <c r="X106" i="1"/>
  <c r="W106" i="1"/>
  <c r="V106" i="1"/>
  <c r="U106" i="1"/>
  <c r="T106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B105" i="1" s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B104" i="1" s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B103" i="1" s="1"/>
  <c r="AB102" i="1"/>
  <c r="AA102" i="1"/>
  <c r="Z102" i="1"/>
  <c r="Y102" i="1"/>
  <c r="X102" i="1"/>
  <c r="W102" i="1"/>
  <c r="V102" i="1"/>
  <c r="U102" i="1"/>
  <c r="T102" i="1"/>
  <c r="AB101" i="1"/>
  <c r="AA101" i="1"/>
  <c r="Z101" i="1"/>
  <c r="Y101" i="1"/>
  <c r="X101" i="1"/>
  <c r="W101" i="1"/>
  <c r="V101" i="1"/>
  <c r="U101" i="1"/>
  <c r="T101" i="1"/>
  <c r="AB100" i="1"/>
  <c r="AA100" i="1"/>
  <c r="Z100" i="1"/>
  <c r="Y100" i="1"/>
  <c r="X100" i="1"/>
  <c r="W100" i="1"/>
  <c r="V100" i="1"/>
  <c r="U100" i="1"/>
  <c r="T100" i="1"/>
  <c r="AB99" i="1"/>
  <c r="AA99" i="1"/>
  <c r="Z99" i="1"/>
  <c r="Y99" i="1"/>
  <c r="X99" i="1"/>
  <c r="W99" i="1"/>
  <c r="V99" i="1"/>
  <c r="U99" i="1"/>
  <c r="T99" i="1"/>
  <c r="AB98" i="1"/>
  <c r="AA98" i="1"/>
  <c r="Z98" i="1"/>
  <c r="Y98" i="1"/>
  <c r="X98" i="1"/>
  <c r="W98" i="1"/>
  <c r="V98" i="1"/>
  <c r="U98" i="1"/>
  <c r="T98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B97" i="1" s="1"/>
  <c r="AB96" i="1"/>
  <c r="AA96" i="1"/>
  <c r="Z96" i="1"/>
  <c r="Y96" i="1"/>
  <c r="X96" i="1"/>
  <c r="W96" i="1"/>
  <c r="V96" i="1"/>
  <c r="U96" i="1"/>
  <c r="T96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B95" i="1" s="1"/>
  <c r="AB94" i="1"/>
  <c r="AA94" i="1"/>
  <c r="Z94" i="1"/>
  <c r="Y94" i="1"/>
  <c r="X94" i="1"/>
  <c r="W94" i="1"/>
  <c r="V94" i="1"/>
  <c r="U94" i="1"/>
  <c r="T94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B92" i="1"/>
  <c r="AA92" i="1"/>
  <c r="Z92" i="1"/>
  <c r="Y92" i="1"/>
  <c r="X92" i="1"/>
  <c r="W92" i="1"/>
  <c r="V92" i="1"/>
  <c r="U92" i="1"/>
  <c r="T92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B91" i="1" s="1"/>
  <c r="AB90" i="1"/>
  <c r="AA90" i="1"/>
  <c r="Z90" i="1"/>
  <c r="Y90" i="1"/>
  <c r="X90" i="1"/>
  <c r="W90" i="1"/>
  <c r="V90" i="1"/>
  <c r="U90" i="1"/>
  <c r="T90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B89" i="1" s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B87" i="1" s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B85" i="1" s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B83" i="1" s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B78" i="1" s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B76" i="1" s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B74" i="1"/>
  <c r="AA74" i="1"/>
  <c r="Z74" i="1"/>
  <c r="Y74" i="1"/>
  <c r="X74" i="1"/>
  <c r="W74" i="1"/>
  <c r="V74" i="1"/>
  <c r="U74" i="1"/>
  <c r="T74" i="1"/>
  <c r="AB73" i="1"/>
  <c r="AA73" i="1"/>
  <c r="Z73" i="1"/>
  <c r="Y73" i="1"/>
  <c r="X73" i="1"/>
  <c r="W73" i="1"/>
  <c r="V73" i="1"/>
  <c r="U73" i="1"/>
  <c r="T73" i="1"/>
  <c r="AB72" i="1"/>
  <c r="AA72" i="1"/>
  <c r="Z72" i="1"/>
  <c r="Y72" i="1"/>
  <c r="X72" i="1"/>
  <c r="W72" i="1"/>
  <c r="V72" i="1"/>
  <c r="U72" i="1"/>
  <c r="T72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B71" i="1" s="1"/>
  <c r="AB70" i="1"/>
  <c r="AA70" i="1"/>
  <c r="Z70" i="1"/>
  <c r="Y70" i="1"/>
  <c r="X70" i="1"/>
  <c r="W70" i="1"/>
  <c r="V70" i="1"/>
  <c r="U70" i="1"/>
  <c r="T70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B68" i="1" s="1"/>
  <c r="AB67" i="1"/>
  <c r="AA67" i="1"/>
  <c r="Z67" i="1"/>
  <c r="Y67" i="1"/>
  <c r="X67" i="1"/>
  <c r="W67" i="1"/>
  <c r="V67" i="1"/>
  <c r="U67" i="1"/>
  <c r="T67" i="1"/>
  <c r="AB66" i="1"/>
  <c r="AA66" i="1"/>
  <c r="Z66" i="1"/>
  <c r="Y66" i="1"/>
  <c r="X66" i="1"/>
  <c r="W66" i="1"/>
  <c r="V66" i="1"/>
  <c r="U66" i="1"/>
  <c r="T66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B65" i="1" s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B63" i="1" s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B61" i="1" s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B59" i="1" s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B57" i="1" s="1"/>
  <c r="AB56" i="1"/>
  <c r="AA56" i="1"/>
  <c r="Z56" i="1"/>
  <c r="Y56" i="1"/>
  <c r="X56" i="1"/>
  <c r="W56" i="1"/>
  <c r="V56" i="1"/>
  <c r="U56" i="1"/>
  <c r="T56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B55" i="1" s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B54" i="1" s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B53" i="1" s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B52" i="1" s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B51" i="1" s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B50" i="1" s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B49" i="1" s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B48" i="1" s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B47" i="1" s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B46" i="1" s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B45" i="1" s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B44" i="1" s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B43" i="1" s="1"/>
  <c r="AB42" i="1"/>
  <c r="AA42" i="1"/>
  <c r="Z42" i="1"/>
  <c r="Y42" i="1"/>
  <c r="X42" i="1"/>
  <c r="W42" i="1"/>
  <c r="V42" i="1"/>
  <c r="U42" i="1"/>
  <c r="T42" i="1"/>
  <c r="AB41" i="1"/>
  <c r="AA41" i="1"/>
  <c r="Z41" i="1"/>
  <c r="Y41" i="1"/>
  <c r="X41" i="1"/>
  <c r="W41" i="1"/>
  <c r="V41" i="1"/>
  <c r="U41" i="1"/>
  <c r="T41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B40" i="1" s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B39" i="1" s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B38" i="1" s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B37" i="1" s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B36" i="1" s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B35" i="1" s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B34" i="1" s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B33" i="1" s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B32" i="1" s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B31" i="1" s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B30" i="1" s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B29" i="1" s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B28" i="1" s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B27" i="1" s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B26" i="1" s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B25" i="1" s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B24" i="1" s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B23" i="1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B22" i="1" s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B20" i="1" s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B19" i="1" s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B18" i="1" s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B17" i="1" s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B16" i="1" s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B15" i="1" s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B14" i="1" s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B13" i="1" s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B12" i="1" s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B11" i="1" s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B10" i="1" s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B9" i="1" s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B8" i="1" s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B7" i="1" s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B6" i="1" s="1"/>
</calcChain>
</file>

<file path=xl/sharedStrings.xml><?xml version="1.0" encoding="utf-8"?>
<sst xmlns="http://schemas.openxmlformats.org/spreadsheetml/2006/main" count="196" uniqueCount="107">
  <si>
    <t>Situacion financiera</t>
  </si>
  <si>
    <t>Agroindustrias AIB S.A.</t>
  </si>
  <si>
    <t>Analsiis Vertical</t>
  </si>
  <si>
    <t>Analisis Horizontal</t>
  </si>
  <si>
    <t>CUENTA</t>
  </si>
  <si>
    <t>ACTIVOS</t>
  </si>
  <si>
    <t>ACTIVOS CORRIENTES</t>
  </si>
  <si>
    <t>Efectivo y Equivalentes al Efectivo</t>
  </si>
  <si>
    <t>Otros Activos Financieros</t>
  </si>
  <si>
    <t>Cuentas por Cobrar Comerciales y Otras Cuentas por Cobrar</t>
  </si>
  <si>
    <t>Cuentas por Cobrar Comerciales</t>
  </si>
  <si>
    <t>Cuentas por Cobrar a Entidades Relacionadas</t>
  </si>
  <si>
    <t>Otras Cuentas por Cobrar</t>
  </si>
  <si>
    <t>Anticipos</t>
  </si>
  <si>
    <t>Inventarios</t>
  </si>
  <si>
    <t>Activos Biológicos</t>
  </si>
  <si>
    <t>Activos por Impuestos a las Ganancias</t>
  </si>
  <si>
    <t>Otros Activos no Financieros</t>
  </si>
  <si>
    <t>Activos Corrientes Distintos al Efectivo Pignorados como Garantía Colateral</t>
  </si>
  <si>
    <t>Total Activos Corrientes Distintos de los Activos no Corrientes o Grupos de Activos para su Disposición Clasificados como Mantenidos para la Venta o para Distribuir a los Propietarios</t>
  </si>
  <si>
    <t>Activos no Corrientes o Grupos de Activos para su Disposición Clasificados como Mantenidos para la Venta o como Mantenidos para Distribuir a los Propietarios</t>
  </si>
  <si>
    <t>Total Activos Corrientes</t>
  </si>
  <si>
    <t>Activos No Corrientes</t>
  </si>
  <si>
    <t>Inversiones en Subsidiarias, Negocios Conjuntos y Asociadas</t>
  </si>
  <si>
    <t>Propiedades de Inversión</t>
  </si>
  <si>
    <t>Propiedades, Planta y Equipo</t>
  </si>
  <si>
    <t>Activos Intangibles Distintos de la Plusvalía</t>
  </si>
  <si>
    <t>Activos por Impuestos Diferidos</t>
  </si>
  <si>
    <t>Activos por Impuestos Corrientes, no Corrientes</t>
  </si>
  <si>
    <t>Plusvalía</t>
  </si>
  <si>
    <t>Activos no Corrientes Distintos al Efectivo Pignorados como Garantía Colateral</t>
  </si>
  <si>
    <t>Total Activos No Corrientes</t>
  </si>
  <si>
    <t>TOTAL DE ACTIVOS</t>
  </si>
  <si>
    <t>Pasivos y Patrimonio</t>
  </si>
  <si>
    <t>Pasivos Corrientes</t>
  </si>
  <si>
    <t>Otros Pasivos Financieros</t>
  </si>
  <si>
    <t>Cuentas por Pagar Comerciales y Otras Cuentas por Pagar</t>
  </si>
  <si>
    <t>Cuentas por Pagar Comerciales</t>
  </si>
  <si>
    <t>Cuentas por Pagar a Entidades Relacionadas</t>
  </si>
  <si>
    <t>Otras Cuentas por Pagar</t>
  </si>
  <si>
    <t>Ingresos Diferidos</t>
  </si>
  <si>
    <t>Provisión por Beneficios a los Empleados</t>
  </si>
  <si>
    <t>Otras Provisiones</t>
  </si>
  <si>
    <t>Pasivos por Impuestos a las Ganancias</t>
  </si>
  <si>
    <t>Otros Pasivos no Financieros</t>
  </si>
  <si>
    <t>Total de Pasivos Corrientes Distintos de Pasivos Incluidos en Grupos de Activos para su Disposición Clasificados como Mantenidos para la Venta</t>
  </si>
  <si>
    <t>Pasivos incluidos en Grupos de Activos para su Disposición Clasificados como Mantenidos para la Venta</t>
  </si>
  <si>
    <t>Total Pasivos Corrientes</t>
  </si>
  <si>
    <t>Pasivos No Corrientes</t>
  </si>
  <si>
    <t>Pasivos por Impuestos Diferidos</t>
  </si>
  <si>
    <t>Pasivos por Impuestos Corrientes, no Corriente</t>
  </si>
  <si>
    <t>Total Pasivos No Corrientes</t>
  </si>
  <si>
    <t>Total Pasivos</t>
  </si>
  <si>
    <t>Patrimonio</t>
  </si>
  <si>
    <t>Capital Emitido</t>
  </si>
  <si>
    <t>Primas de Emisión</t>
  </si>
  <si>
    <t>Acciones de Inversión</t>
  </si>
  <si>
    <t>Acciones Propias en Cartera</t>
  </si>
  <si>
    <t>Otras Reservas de Capital</t>
  </si>
  <si>
    <t>Resultados Acumulados</t>
  </si>
  <si>
    <t>Otras Reservas de Patrimonio</t>
  </si>
  <si>
    <t>Total Patrimonio</t>
  </si>
  <si>
    <t>TOTAL PASIVO Y PATRIMONIO</t>
  </si>
  <si>
    <t>ESTADO DE RESULTADOS</t>
  </si>
  <si>
    <t>Ingresos de Actividades Ordinarias</t>
  </si>
  <si>
    <t>Costo de Ventas</t>
  </si>
  <si>
    <t>Ganancia (Pérdida) Bruta</t>
  </si>
  <si>
    <t>Gastos de Ventas y Distribución</t>
  </si>
  <si>
    <t>Gastos de Administración</t>
  </si>
  <si>
    <t>Otros Ingresos Operativos</t>
  </si>
  <si>
    <t>Otros Gastos Operativos</t>
  </si>
  <si>
    <t>Otras Ganancias (Pérdidas)</t>
  </si>
  <si>
    <t>Ganancia (Pérdida) Operativa</t>
  </si>
  <si>
    <t>Ganancia (Pérdida) de la Baja en Activos Financieros medidos al Costo Amortizado</t>
  </si>
  <si>
    <t>Ingresos Financieros</t>
  </si>
  <si>
    <t>Ingresos por Intereses calculados usando el Metodo de Interes Efectivo</t>
  </si>
  <si>
    <t>Gastos Financieros</t>
  </si>
  <si>
    <t>Ganancia (Pérdida) por Deterioro de Valor (Pérdidas Crediticias Esperadas o Reversiones)</t>
  </si>
  <si>
    <t>Otros Ingresos (Gastos) de las Subsidiarias, Asociadas y Negocios Conjuntos</t>
  </si>
  <si>
    <t>Diferencias de Cambio Neto</t>
  </si>
  <si>
    <t>Ganancias (Pérdidas) por Reclasificación de Activos Financieros a Valor Razonable con cambios en Resultados antes medidos al Costo Amortizado</t>
  </si>
  <si>
    <t>Ganancia (Pérdida) Acumulada en Otro Resultado Integral por Activos Financieros medidos a Valor Razonable reclasificados como cambios en Resultados</t>
  </si>
  <si>
    <t>Ganancias (Pérdidas) por Cobertura de un Grupo de Partidas con posiciones de Riesgo Compensadoras</t>
  </si>
  <si>
    <t>Diferencia entre el Importe en Libros de los Activos Distribuidos y el Importe en Libros del Dividendo a pagar</t>
  </si>
  <si>
    <t>Ganancia (Pérdida) antes de Impuestos</t>
  </si>
  <si>
    <t>Ingreso (Gasto) por Impuesto</t>
  </si>
  <si>
    <t>Ganancia (Pérdida) Neta de Operaciones Continuadas</t>
  </si>
  <si>
    <t>Ganancia (Pérdida) procedente de Operaciones Discontinuadas, neta de Impuesto</t>
  </si>
  <si>
    <t>Ganancia (Pérdida) Neta del Ejercicio</t>
  </si>
  <si>
    <t>Total de Ganancias (Pérdida) Diluida por Acción Inversión</t>
  </si>
  <si>
    <t>Corporación Aceros Arequipa S.A. – Estado de Situación Financiera 2016–2025</t>
  </si>
  <si>
    <t>MONTOS (S/ miles)</t>
  </si>
  <si>
    <t>ANÁLISIS VERTICAL (% del total de activos)</t>
  </si>
  <si>
    <t>ANÁLISIS HORIZONTAL (variación vs. año anterior)</t>
  </si>
  <si>
    <t>Cuenta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</si>
  <si>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</si>
  <si>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</si>
  <si>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</si>
  <si>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</si>
  <si>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</si>
  <si>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</si>
  <si>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</si>
  <si>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</si>
  <si>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</si>
  <si>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</si>
  <si>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Activos</t>
  </si>
  <si>
    <t>Activos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</si>
</sst>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#,##0;\(#,##0\);&quot;-&quot;"/>
    <numFmt numFmtId="167" formatCode="0.0%;\(0.0%\);&quot;-&quot;"/>
    <numFmt numFmtId="168" formatCode="0.0%;[Red]\(0.0%\);&quot;-&quot;"/>
  </numFmts>
  <fonts count="24" x14ac:knownFonts="1">
    <font>
      <sz val="11"/>
      <color theme="1"/>
      <name val="Calibri"/>
      <scheme val="minor"/>
    </font>
    <font>
      <b/>
      <sz val="10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9"/>
      <color theme="0"/>
      <name val="Arial"/>
    </font>
    <font>
      <b/>
      <sz val="11"/>
      <color theme="0"/>
      <name val="Calibri"/>
    </font>
    <font>
      <b/>
      <sz val="10"/>
      <color rgb="FF696969"/>
      <name val="Calibri"/>
    </font>
    <font>
      <sz val="8"/>
      <color theme="1"/>
      <name val="Calibri"/>
    </font>
    <font>
      <sz val="9"/>
      <color rgb="FF696969"/>
      <name val="Calibri"/>
    </font>
    <font>
      <b/>
      <sz val="9"/>
      <color rgb="FF696969"/>
      <name val="Calibri"/>
    </font>
    <font>
      <b/>
      <sz val="9"/>
      <color theme="0"/>
      <name val="Calibri"/>
    </font>
    <font>
      <sz val="8"/>
      <color rgb="FF696969"/>
      <name val="Calibri"/>
    </font>
    <font>
      <sz val="8"/>
      <color rgb="FF696969"/>
      <name val="Verdana"/>
    </font>
    <font>
      <sz val="11"/>
      <color theme="1"/>
      <name val="Calibri"/>
    </font>
    <font>
      <sz val="10"/>
      <color rgb="FF000000"/>
      <name val="Calibri"/>
      <scheme val="minor"/>
    </font>
    <font>
      <b/>
      <sz val="15"/>
      <color rgb="FF0B3C5D"/>
      <name val="Arial"/>
    </font>
    <font>
      <i/>
      <sz val="9"/>
      <color rgb="FF5A6B7A"/>
      <name val="Arial"/>
    </font>
    <font>
      <sz val="9"/>
      <color rgb="FF0563C1"/>
      <name val="Arial"/>
    </font>
    <font>
      <b/>
      <sz val="10"/>
      <color rgb="FF0B3C5D"/>
      <name val="Arial"/>
    </font>
    <font>
      <sz val="10"/>
      <name val="Calibri"/>
    </font>
    <font>
      <b/>
      <sz val="9"/>
      <color rgb="FFFFFFFF"/>
      <name val="Arial"/>
    </font>
    <font>
      <b/>
      <sz val="9"/>
      <color rgb="FF0B3C5D"/>
      <name val="Arial"/>
    </font>
    <font>
      <sz val="9"/>
      <color rgb="FF000000"/>
      <name val="Arial"/>
    </font>
    <font>
      <b/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1E4E79"/>
        <bgColor rgb="FF1E4E79"/>
      </patternFill>
    </fill>
    <fill>
      <patternFill patternType="solid">
        <fgColor rgb="FFDEEAF6"/>
        <bgColor rgb="FFDEEAF6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2E75B5"/>
        <bgColor rgb="FF2E75B5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EF5FA"/>
        <bgColor rgb="FFEEF5FA"/>
      </patternFill>
    </fill>
    <fill>
      <patternFill patternType="solid">
        <fgColor rgb="FFDDEBF7"/>
        <bgColor rgb="FFDDEBF7"/>
      </patternFill>
    </fill>
    <fill>
      <patternFill patternType="solid">
        <fgColor rgb="FFD9E2EC"/>
        <bgColor rgb="FFD9E2E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5" xfId="0" applyFont="1" applyFill="1" applyBorder="1"/>
    <xf numFmtId="0" fontId="4" fillId="5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right" vertical="center" wrapText="1"/>
    </xf>
    <xf numFmtId="164" fontId="8" fillId="0" borderId="6" xfId="0" applyNumberFormat="1" applyFont="1" applyBorder="1" applyAlignment="1">
      <alignment horizontal="right" vertical="center" wrapText="1"/>
    </xf>
    <xf numFmtId="10" fontId="9" fillId="0" borderId="6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10" fontId="9" fillId="0" borderId="1" xfId="0" applyNumberFormat="1" applyFont="1" applyBorder="1" applyAlignment="1">
      <alignment horizontal="right" vertical="center" wrapText="1"/>
    </xf>
    <xf numFmtId="0" fontId="7" fillId="8" borderId="1" xfId="0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164" fontId="10" fillId="3" borderId="1" xfId="0" applyNumberFormat="1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right" vertical="center" wrapText="1"/>
    </xf>
    <xf numFmtId="164" fontId="10" fillId="9" borderId="1" xfId="0" applyNumberFormat="1" applyFont="1" applyFill="1" applyBorder="1" applyAlignment="1">
      <alignment horizontal="righ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right" vertical="center" wrapText="1"/>
    </xf>
    <xf numFmtId="0" fontId="10" fillId="11" borderId="2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12" borderId="1" xfId="0" applyFont="1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right" vertical="center" wrapText="1"/>
    </xf>
    <xf numFmtId="10" fontId="9" fillId="0" borderId="4" xfId="0" applyNumberFormat="1" applyFont="1" applyBorder="1" applyAlignment="1">
      <alignment horizontal="right" vertical="center" wrapText="1"/>
    </xf>
    <xf numFmtId="164" fontId="9" fillId="13" borderId="1" xfId="0" applyNumberFormat="1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left" vertical="center" wrapText="1"/>
    </xf>
    <xf numFmtId="165" fontId="13" fillId="0" borderId="0" xfId="0" applyNumberFormat="1" applyFont="1"/>
    <xf numFmtId="0" fontId="15" fillId="0" borderId="0" xfId="1" applyFont="1"/>
    <xf numFmtId="0" fontId="14" fillId="0" borderId="0" xfId="1"/>
    <xf numFmtId="0" fontId="16" fillId="0" borderId="0" xfId="1" applyFont="1"/>
    <xf numFmtId="0" fontId="17" fillId="0" borderId="0" xfId="1" applyFont="1"/>
    <xf numFmtId="0" fontId="18" fillId="0" borderId="2" xfId="1" applyFont="1" applyBorder="1"/>
    <xf numFmtId="0" fontId="19" fillId="0" borderId="3" xfId="1" applyFont="1" applyBorder="1"/>
    <xf numFmtId="0" fontId="19" fillId="0" borderId="4" xfId="1" applyFont="1" applyBorder="1"/>
    <xf numFmtId="0" fontId="20" fillId="14" borderId="1" xfId="1" applyFont="1" applyFill="1" applyBorder="1" applyAlignment="1">
      <alignment horizontal="center" vertical="center" wrapText="1"/>
    </xf>
    <xf numFmtId="0" fontId="21" fillId="15" borderId="2" xfId="1" applyFont="1" applyFill="1" applyBorder="1"/>
    <xf numFmtId="0" fontId="21" fillId="0" borderId="0" xfId="1" applyFont="1"/>
    <xf numFmtId="0" fontId="22" fillId="16" borderId="1" xfId="1" applyFont="1" applyFill="1" applyBorder="1" applyAlignment="1">
      <alignment vertical="center"/>
    </xf>
    <xf numFmtId="166" fontId="22" fillId="0" borderId="1" xfId="1" applyNumberFormat="1" applyFont="1" applyBorder="1" applyAlignment="1">
      <alignment vertical="center"/>
    </xf>
    <xf numFmtId="167" fontId="22" fillId="0" borderId="1" xfId="1" applyNumberFormat="1" applyFont="1" applyBorder="1" applyAlignment="1">
      <alignment horizontal="center" vertical="center"/>
    </xf>
    <xf numFmtId="168" fontId="22" fillId="0" borderId="1" xfId="1" applyNumberFormat="1" applyFont="1" applyBorder="1" applyAlignment="1">
      <alignment horizontal="center" vertical="center"/>
    </xf>
    <xf numFmtId="0" fontId="23" fillId="17" borderId="1" xfId="1" applyFont="1" applyFill="1" applyBorder="1" applyAlignment="1">
      <alignment vertical="center"/>
    </xf>
    <xf numFmtId="166" fontId="23" fillId="17" borderId="1" xfId="1" applyNumberFormat="1" applyFont="1" applyFill="1" applyBorder="1" applyAlignment="1">
      <alignment vertical="center"/>
    </xf>
    <xf numFmtId="167" fontId="23" fillId="17" borderId="1" xfId="1" applyNumberFormat="1" applyFont="1" applyFill="1" applyBorder="1" applyAlignment="1">
      <alignment horizontal="center" vertical="center"/>
    </xf>
    <xf numFmtId="168" fontId="23" fillId="17" borderId="1" xfId="1" applyNumberFormat="1" applyFont="1" applyFill="1" applyBorder="1" applyAlignment="1">
      <alignment horizontal="center" vertical="center"/>
    </xf>
    <xf numFmtId="0" fontId="23" fillId="18" borderId="2" xfId="1" applyFont="1" applyFill="1" applyBorder="1"/>
    <xf numFmtId="0" fontId="23" fillId="0" borderId="0" xfId="1" applyFont="1"/>
    <xf numFmtId="0" fontId="23" fillId="17" borderId="5" xfId="1" applyFont="1" applyFill="1" applyBorder="1" applyAlignment="1">
      <alignment vertical="center"/>
    </xf>
    <xf numFmtId="0" fontId="23" fillId="18" borderId="1" xfId="1" applyFont="1" applyFill="1" applyBorder="1"/>
    <xf numFmtId="0" fontId="23" fillId="0" borderId="3" xfId="1" applyFont="1" applyBorder="1"/>
    <xf numFmtId="0" fontId="23" fillId="8" borderId="1" xfId="1" applyFont="1" applyFill="1" applyBorder="1" applyAlignment="1">
      <alignment vertical="center"/>
    </xf>
    <xf numFmtId="166" fontId="23" fillId="8" borderId="1" xfId="1" applyNumberFormat="1" applyFont="1" applyFill="1" applyBorder="1" applyAlignment="1">
      <alignment vertical="center"/>
    </xf>
    <xf numFmtId="167" fontId="23" fillId="8" borderId="1" xfId="1" applyNumberFormat="1" applyFont="1" applyFill="1" applyBorder="1" applyAlignment="1">
      <alignment horizontal="center" vertical="center"/>
    </xf>
    <xf numFmtId="168" fontId="23" fillId="8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2768918-F4BB-4CB9-B4E8-0F7D3CD38FE1}"/>
  </cellStyles>
  <dxfs count="6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111</xdr:row>
      <xdr:rowOff>66675</xdr:rowOff>
    </xdr:from>
    <xdr:ext cx="6610350" cy="4591050"/>
    <xdr:pic>
      <xdr:nvPicPr>
        <xdr:cNvPr id="2" name="image8.png" title="Imagen">
          <a:extLst>
            <a:ext uri="{FF2B5EF4-FFF2-40B4-BE49-F238E27FC236}">
              <a16:creationId xmlns:a16="http://schemas.microsoft.com/office/drawing/2014/main" id="{4AA820C6-88BC-4648-8F99-2C2B5A4F26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57725" y="22370415"/>
          <a:ext cx="6610350" cy="4591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5752-951F-4AC5-9BF3-763F181CBB87}">
  <sheetPr>
    <tabColor rgb="FF7FA7C9"/>
  </sheetPr>
  <dimension ref="A1:AF999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4.44140625" defaultRowHeight="15.75" customHeight="1" x14ac:dyDescent="0.3"/>
  <cols>
    <col min="1" max="1" width="46" style="49" customWidth="1"/>
    <col min="2" max="32" width="10.44140625" style="49" customWidth="1"/>
    <col min="33" max="16384" width="14.44140625" style="49"/>
  </cols>
  <sheetData>
    <row r="1" spans="1:32" ht="15.75" customHeight="1" x14ac:dyDescent="0.35">
      <c r="A1" s="48" t="s">
        <v>90</v>
      </c>
    </row>
    <row r="2" spans="1:32" ht="13.8" x14ac:dyDescent="0.3">
      <c r="A2" s="50"/>
    </row>
    <row r="3" spans="1:32" ht="13.8" x14ac:dyDescent="0.3">
      <c r="A3" s="51"/>
    </row>
    <row r="5" spans="1:32" ht="13.8" x14ac:dyDescent="0.3">
      <c r="B5" s="52" t="s">
        <v>91</v>
      </c>
      <c r="C5" s="53"/>
      <c r="D5" s="53"/>
      <c r="E5" s="53"/>
      <c r="F5" s="53"/>
      <c r="G5" s="53"/>
      <c r="H5" s="53"/>
      <c r="I5" s="53"/>
      <c r="J5" s="53"/>
      <c r="K5" s="54"/>
      <c r="M5" s="52" t="s">
        <v>92</v>
      </c>
      <c r="N5" s="53"/>
      <c r="O5" s="53"/>
      <c r="P5" s="53"/>
      <c r="Q5" s="53"/>
      <c r="R5" s="53"/>
      <c r="S5" s="53"/>
      <c r="T5" s="53"/>
      <c r="U5" s="53"/>
      <c r="V5" s="54"/>
      <c r="X5" s="52" t="s">
        <v>93</v>
      </c>
      <c r="Y5" s="53"/>
      <c r="Z5" s="53"/>
      <c r="AA5" s="53"/>
      <c r="AB5" s="53"/>
      <c r="AC5" s="53"/>
      <c r="AD5" s="53"/>
      <c r="AE5" s="53"/>
      <c r="AF5" s="54"/>
    </row>
    <row r="6" spans="1:32" ht="13.8" x14ac:dyDescent="0.3">
      <c r="A6" s="55" t="s">
        <v>94</v>
      </c>
      <c r="B6" s="55" t="s">
        <v>95</v>
      </c>
      <c r="C6" s="55" t="s">
        <v>96</v>
      </c>
      <c r="D6" s="55" t="s">
        <v>97</v>
      </c>
      <c r="E6" s="55" t="s">
        <v>98</v>
      </c>
      <c r="F6" s="55" t="s">
        <v>99</v>
      </c>
      <c r="G6" s="55" t="s">
        <v>100</v>
      </c>
      <c r="H6" s="55" t="s">
        <v>101</v>
      </c>
      <c r="I6" s="55" t="s">
        <v>102</v>
      </c>
      <c r="J6" s="55" t="s">
        <v>103</v>
      </c>
      <c r="K6" s="55" t="s">
        <v>104</v>
      </c>
      <c r="M6" s="55" t="s">
        <v>95</v>
      </c>
      <c r="N6" s="55" t="s">
        <v>96</v>
      </c>
      <c r="O6" s="55" t="s">
        <v>97</v>
      </c>
      <c r="P6" s="55" t="s">
        <v>98</v>
      </c>
      <c r="Q6" s="55" t="s">
        <v>99</v>
      </c>
      <c r="R6" s="55" t="s">
        <v>100</v>
      </c>
      <c r="S6" s="55" t="s">
        <v>101</v>
      </c>
      <c r="T6" s="55" t="s">
        <v>102</v>
      </c>
      <c r="U6" s="55" t="s">
        <v>103</v>
      </c>
      <c r="V6" s="55" t="s">
        <v>104</v>
      </c>
      <c r="X6" s="55" t="s">
        <v>96</v>
      </c>
      <c r="Y6" s="55" t="s">
        <v>97</v>
      </c>
      <c r="Z6" s="55" t="s">
        <v>98</v>
      </c>
      <c r="AA6" s="55" t="s">
        <v>99</v>
      </c>
      <c r="AB6" s="55" t="s">
        <v>100</v>
      </c>
      <c r="AC6" s="55" t="s">
        <v>101</v>
      </c>
      <c r="AD6" s="55" t="s">
        <v>102</v>
      </c>
      <c r="AE6" s="55" t="s">
        <v>103</v>
      </c>
      <c r="AF6" s="55" t="s">
        <v>104</v>
      </c>
    </row>
    <row r="7" spans="1:32" ht="13.8" x14ac:dyDescent="0.3">
      <c r="A7" s="56" t="s">
        <v>105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32" ht="13.8" x14ac:dyDescent="0.3">
      <c r="A8" s="56" t="s">
        <v>106</v>
      </c>
      <c r="B8" s="57"/>
      <c r="C8" s="57"/>
      <c r="D8" s="57"/>
      <c r="E8" s="57"/>
      <c r="F8" s="57"/>
      <c r="G8" s="57"/>
      <c r="H8" s="57"/>
      <c r="I8" s="57"/>
      <c r="J8" s="57"/>
      <c r="K8" s="57"/>
    </row>
    <row r="9" spans="1:32" ht="13.8" x14ac:dyDescent="0.3">
      <c r="A9" s="58" t="s">
        <v>7</v>
      </c>
      <c r="B9" s="59">
        <v>226590</v>
      </c>
      <c r="C9" s="59">
        <v>318194</v>
      </c>
      <c r="D9" s="59">
        <v>228988</v>
      </c>
      <c r="E9" s="59">
        <v>404360</v>
      </c>
      <c r="F9" s="59">
        <v>679708</v>
      </c>
      <c r="G9" s="59">
        <v>605992</v>
      </c>
      <c r="H9" s="59">
        <v>602883</v>
      </c>
      <c r="I9" s="59">
        <v>582204</v>
      </c>
      <c r="J9" s="59">
        <v>464460</v>
      </c>
      <c r="K9" s="59">
        <v>609389</v>
      </c>
      <c r="M9" s="60">
        <f t="shared" ref="M9:V20" si="0">IFERROR(B9/B$32,"")</f>
        <v>7.6117372390278312E-2</v>
      </c>
      <c r="N9" s="60">
        <f t="shared" si="0"/>
        <v>0.10255069861160752</v>
      </c>
      <c r="O9" s="60">
        <f t="shared" si="0"/>
        <v>6.4572800341999984E-2</v>
      </c>
      <c r="P9" s="60">
        <f t="shared" si="0"/>
        <v>0.1040326145179474</v>
      </c>
      <c r="Q9" s="60">
        <f t="shared" si="0"/>
        <v>0.15653345013902917</v>
      </c>
      <c r="R9" s="60">
        <f t="shared" si="0"/>
        <v>0.10191748678250656</v>
      </c>
      <c r="S9" s="60">
        <f t="shared" si="0"/>
        <v>9.469171159505925E-2</v>
      </c>
      <c r="T9" s="60">
        <f t="shared" si="0"/>
        <v>0.10074194147871265</v>
      </c>
      <c r="U9" s="60">
        <f t="shared" si="0"/>
        <v>7.9898395581177992E-2</v>
      </c>
      <c r="V9" s="60">
        <f t="shared" si="0"/>
        <v>0.10558602427482802</v>
      </c>
      <c r="X9" s="61">
        <f t="shared" ref="X9:AF20" si="1">IFERROR(IF(B9=0,"",C9/B9-1),"")</f>
        <v>0.40427203318769589</v>
      </c>
      <c r="Y9" s="61">
        <f t="shared" si="1"/>
        <v>-0.28035098084816179</v>
      </c>
      <c r="Z9" s="61">
        <f t="shared" si="1"/>
        <v>0.76585672611665245</v>
      </c>
      <c r="AA9" s="61">
        <f t="shared" si="1"/>
        <v>0.68094767039271931</v>
      </c>
      <c r="AB9" s="61">
        <f t="shared" si="1"/>
        <v>-0.10845245311221874</v>
      </c>
      <c r="AC9" s="61">
        <f t="shared" si="1"/>
        <v>-5.1304307647626057E-3</v>
      </c>
      <c r="AD9" s="61">
        <f t="shared" si="1"/>
        <v>-3.4300187598588772E-2</v>
      </c>
      <c r="AE9" s="61">
        <f t="shared" si="1"/>
        <v>-0.20223839066718885</v>
      </c>
      <c r="AF9" s="61">
        <f t="shared" si="1"/>
        <v>0.31203763510313043</v>
      </c>
    </row>
    <row r="10" spans="1:32" ht="13.8" x14ac:dyDescent="0.3">
      <c r="A10" s="58" t="s">
        <v>9</v>
      </c>
      <c r="B10" s="59">
        <v>237187</v>
      </c>
      <c r="C10" s="59">
        <v>318785</v>
      </c>
      <c r="D10" s="59">
        <v>432348</v>
      </c>
      <c r="E10" s="59">
        <v>511023</v>
      </c>
      <c r="F10" s="59">
        <v>464152</v>
      </c>
      <c r="G10" s="59">
        <v>852999</v>
      </c>
      <c r="H10" s="59">
        <v>758695</v>
      </c>
      <c r="I10" s="59">
        <v>658951</v>
      </c>
      <c r="J10" s="59">
        <v>702718</v>
      </c>
      <c r="K10" s="59">
        <v>627025</v>
      </c>
      <c r="M10" s="60">
        <f t="shared" si="0"/>
        <v>7.9677175537900796E-2</v>
      </c>
      <c r="N10" s="60">
        <f t="shared" si="0"/>
        <v>0.10274117191682214</v>
      </c>
      <c r="O10" s="60">
        <f t="shared" si="0"/>
        <v>0.12191870788977155</v>
      </c>
      <c r="P10" s="60">
        <f t="shared" si="0"/>
        <v>0.13147457406470728</v>
      </c>
      <c r="Q10" s="60">
        <f t="shared" si="0"/>
        <v>0.10689195058603204</v>
      </c>
      <c r="R10" s="60">
        <f t="shared" si="0"/>
        <v>0.14345983826187692</v>
      </c>
      <c r="S10" s="60">
        <f t="shared" si="0"/>
        <v>0.11916429577316573</v>
      </c>
      <c r="T10" s="60">
        <f t="shared" si="0"/>
        <v>0.11402189452380812</v>
      </c>
      <c r="U10" s="60">
        <f t="shared" si="0"/>
        <v>0.12088455571204031</v>
      </c>
      <c r="V10" s="60">
        <f t="shared" si="0"/>
        <v>0.10864173273709246</v>
      </c>
      <c r="X10" s="61">
        <f t="shared" si="1"/>
        <v>0.34402391362089824</v>
      </c>
      <c r="Y10" s="61">
        <f t="shared" si="1"/>
        <v>0.35623696221591361</v>
      </c>
      <c r="Z10" s="61">
        <f t="shared" si="1"/>
        <v>0.1819714674290156</v>
      </c>
      <c r="AA10" s="61">
        <f t="shared" si="1"/>
        <v>-9.1719942155245482E-2</v>
      </c>
      <c r="AB10" s="61">
        <f t="shared" si="1"/>
        <v>0.83775788965683651</v>
      </c>
      <c r="AC10" s="61">
        <f t="shared" si="1"/>
        <v>-0.11055581542299575</v>
      </c>
      <c r="AD10" s="61">
        <f t="shared" si="1"/>
        <v>-0.13146784939929745</v>
      </c>
      <c r="AE10" s="61">
        <f t="shared" si="1"/>
        <v>6.6419202641774477E-2</v>
      </c>
      <c r="AF10" s="61">
        <f t="shared" si="1"/>
        <v>-0.10771461667411397</v>
      </c>
    </row>
    <row r="11" spans="1:32" ht="13.8" x14ac:dyDescent="0.3">
      <c r="A11" s="58" t="s">
        <v>10</v>
      </c>
      <c r="B11" s="59">
        <v>184659</v>
      </c>
      <c r="C11" s="59">
        <v>267235</v>
      </c>
      <c r="D11" s="59">
        <v>335005</v>
      </c>
      <c r="E11" s="59">
        <v>369305</v>
      </c>
      <c r="F11" s="59">
        <v>371723</v>
      </c>
      <c r="G11" s="59">
        <v>582509</v>
      </c>
      <c r="H11" s="59">
        <v>471748</v>
      </c>
      <c r="I11" s="59">
        <v>385808</v>
      </c>
      <c r="J11" s="59">
        <v>442125</v>
      </c>
      <c r="K11" s="59">
        <v>428345</v>
      </c>
      <c r="M11" s="60">
        <f t="shared" si="0"/>
        <v>6.2031677780203909E-2</v>
      </c>
      <c r="N11" s="60">
        <f t="shared" si="0"/>
        <v>8.612712981223071E-2</v>
      </c>
      <c r="O11" s="60">
        <f t="shared" si="0"/>
        <v>9.4468753727582691E-2</v>
      </c>
      <c r="P11" s="60">
        <f t="shared" si="0"/>
        <v>9.5013761758211898E-2</v>
      </c>
      <c r="Q11" s="60">
        <f t="shared" si="0"/>
        <v>8.5606000938682994E-2</v>
      </c>
      <c r="R11" s="60">
        <f t="shared" si="0"/>
        <v>9.7968047941542319E-2</v>
      </c>
      <c r="S11" s="60">
        <f t="shared" si="0"/>
        <v>7.4095016050454252E-2</v>
      </c>
      <c r="T11" s="60">
        <f t="shared" si="0"/>
        <v>6.6758467750168624E-2</v>
      </c>
      <c r="U11" s="60">
        <f t="shared" si="0"/>
        <v>7.6056233359876685E-2</v>
      </c>
      <c r="V11" s="60">
        <f t="shared" si="0"/>
        <v>7.4217364553677875E-2</v>
      </c>
      <c r="X11" s="61">
        <f t="shared" si="1"/>
        <v>0.44718102015065608</v>
      </c>
      <c r="Y11" s="61">
        <f t="shared" si="1"/>
        <v>0.25359702134825146</v>
      </c>
      <c r="Z11" s="61">
        <f t="shared" si="1"/>
        <v>0.10238653154430533</v>
      </c>
      <c r="AA11" s="61">
        <f t="shared" si="1"/>
        <v>6.5474336930180232E-3</v>
      </c>
      <c r="AB11" s="61">
        <f t="shared" si="1"/>
        <v>0.56705127204934858</v>
      </c>
      <c r="AC11" s="61">
        <f t="shared" si="1"/>
        <v>-0.19014470162692765</v>
      </c>
      <c r="AD11" s="61">
        <f t="shared" si="1"/>
        <v>-0.18217353332711528</v>
      </c>
      <c r="AE11" s="61">
        <f t="shared" si="1"/>
        <v>0.14597157135155303</v>
      </c>
      <c r="AF11" s="61">
        <f t="shared" si="1"/>
        <v>-3.1167656205824179E-2</v>
      </c>
    </row>
    <row r="12" spans="1:32" ht="13.8" x14ac:dyDescent="0.3">
      <c r="A12" s="58" t="s">
        <v>11</v>
      </c>
      <c r="B12" s="59">
        <v>29536</v>
      </c>
      <c r="C12" s="59">
        <v>36219</v>
      </c>
      <c r="D12" s="59">
        <v>61631</v>
      </c>
      <c r="E12" s="59">
        <v>95813</v>
      </c>
      <c r="F12" s="59">
        <v>84069</v>
      </c>
      <c r="G12" s="59">
        <v>237414</v>
      </c>
      <c r="H12" s="59">
        <v>241397</v>
      </c>
      <c r="I12" s="59">
        <v>207049</v>
      </c>
      <c r="J12" s="59">
        <v>174363</v>
      </c>
      <c r="K12" s="59">
        <v>137183</v>
      </c>
      <c r="M12" s="60">
        <f t="shared" si="0"/>
        <v>9.9218973075566458E-3</v>
      </c>
      <c r="N12" s="60">
        <f t="shared" si="0"/>
        <v>1.1673016313990248E-2</v>
      </c>
      <c r="O12" s="60">
        <f t="shared" si="0"/>
        <v>1.7379453324531422E-2</v>
      </c>
      <c r="P12" s="60">
        <f t="shared" si="0"/>
        <v>2.4650501767751742E-2</v>
      </c>
      <c r="Q12" s="60">
        <f t="shared" si="0"/>
        <v>1.936068226317484E-2</v>
      </c>
      <c r="R12" s="60">
        <f t="shared" si="0"/>
        <v>3.9928973001264065E-2</v>
      </c>
      <c r="S12" s="60">
        <f t="shared" si="0"/>
        <v>3.7914977041834844E-2</v>
      </c>
      <c r="T12" s="60">
        <f t="shared" si="0"/>
        <v>3.5826820566718841E-2</v>
      </c>
      <c r="U12" s="60">
        <f t="shared" si="0"/>
        <v>2.9994668967663392E-2</v>
      </c>
      <c r="V12" s="60">
        <f t="shared" si="0"/>
        <v>2.376906634037328E-2</v>
      </c>
      <c r="X12" s="61">
        <f t="shared" si="1"/>
        <v>0.22626625135427947</v>
      </c>
      <c r="Y12" s="61">
        <f t="shared" si="1"/>
        <v>0.70162069631961121</v>
      </c>
      <c r="Z12" s="61">
        <f t="shared" si="1"/>
        <v>0.55462348493452973</v>
      </c>
      <c r="AA12" s="61">
        <f t="shared" si="1"/>
        <v>-0.12257209355724175</v>
      </c>
      <c r="AB12" s="61">
        <f t="shared" si="1"/>
        <v>1.8240373978517646</v>
      </c>
      <c r="AC12" s="61">
        <f t="shared" si="1"/>
        <v>1.6776601211385911E-2</v>
      </c>
      <c r="AD12" s="61">
        <f t="shared" si="1"/>
        <v>-0.14228842943367148</v>
      </c>
      <c r="AE12" s="61">
        <f t="shared" si="1"/>
        <v>-0.15786601239320164</v>
      </c>
      <c r="AF12" s="61">
        <f t="shared" si="1"/>
        <v>-0.21323331211323504</v>
      </c>
    </row>
    <row r="13" spans="1:32" ht="13.8" x14ac:dyDescent="0.3">
      <c r="A13" s="58" t="s">
        <v>12</v>
      </c>
      <c r="B13" s="59">
        <v>22992</v>
      </c>
      <c r="C13" s="59">
        <v>15331</v>
      </c>
      <c r="D13" s="59">
        <v>30499</v>
      </c>
      <c r="E13" s="59">
        <v>39350</v>
      </c>
      <c r="F13" s="59">
        <v>3137</v>
      </c>
      <c r="G13" s="59">
        <v>25327</v>
      </c>
      <c r="H13" s="59">
        <v>35163</v>
      </c>
      <c r="I13" s="59">
        <v>56983</v>
      </c>
      <c r="J13" s="59">
        <v>78164</v>
      </c>
      <c r="K13" s="59">
        <v>54410</v>
      </c>
      <c r="M13" s="60">
        <f t="shared" si="0"/>
        <v>7.7236004501402486E-3</v>
      </c>
      <c r="N13" s="60">
        <f t="shared" si="0"/>
        <v>4.9410257906011895E-3</v>
      </c>
      <c r="O13" s="60">
        <f t="shared" si="0"/>
        <v>8.6004761718110005E-3</v>
      </c>
      <c r="P13" s="60">
        <f t="shared" si="0"/>
        <v>1.0123858396679272E-2</v>
      </c>
      <c r="Q13" s="60">
        <f t="shared" si="0"/>
        <v>7.2243585934862406E-4</v>
      </c>
      <c r="R13" s="60">
        <f t="shared" si="0"/>
        <v>4.259568092880011E-3</v>
      </c>
      <c r="S13" s="60">
        <f t="shared" si="0"/>
        <v>5.5228703659202004E-3</v>
      </c>
      <c r="T13" s="60">
        <f t="shared" si="0"/>
        <v>9.8600800600502289E-3</v>
      </c>
      <c r="U13" s="60">
        <f t="shared" si="0"/>
        <v>1.3446105568202207E-2</v>
      </c>
      <c r="V13" s="60">
        <f t="shared" si="0"/>
        <v>9.4273700063397803E-3</v>
      </c>
      <c r="X13" s="61">
        <f t="shared" si="1"/>
        <v>-0.3332028531663187</v>
      </c>
      <c r="Y13" s="61">
        <f t="shared" si="1"/>
        <v>0.98936794729632771</v>
      </c>
      <c r="Z13" s="61">
        <f t="shared" si="1"/>
        <v>0.29020623627004172</v>
      </c>
      <c r="AA13" s="61">
        <f t="shared" si="1"/>
        <v>-0.92027954256670896</v>
      </c>
      <c r="AB13" s="61">
        <f t="shared" si="1"/>
        <v>7.0736372330251829</v>
      </c>
      <c r="AC13" s="61">
        <f t="shared" si="1"/>
        <v>0.38836024795672608</v>
      </c>
      <c r="AD13" s="61">
        <f t="shared" si="1"/>
        <v>0.62053863435998058</v>
      </c>
      <c r="AE13" s="61">
        <f t="shared" si="1"/>
        <v>0.37170735131530463</v>
      </c>
      <c r="AF13" s="61">
        <f t="shared" si="1"/>
        <v>-0.30389949337290822</v>
      </c>
    </row>
    <row r="14" spans="1:32" ht="13.8" x14ac:dyDescent="0.3">
      <c r="A14" s="58" t="s">
        <v>13</v>
      </c>
      <c r="B14" s="59">
        <v>0</v>
      </c>
      <c r="C14" s="59">
        <v>0</v>
      </c>
      <c r="D14" s="59">
        <v>5213</v>
      </c>
      <c r="E14" s="59">
        <v>6555</v>
      </c>
      <c r="F14" s="59">
        <v>5223</v>
      </c>
      <c r="G14" s="59">
        <v>7749</v>
      </c>
      <c r="H14" s="59">
        <v>10387</v>
      </c>
      <c r="I14" s="59">
        <v>9111</v>
      </c>
      <c r="J14" s="59">
        <v>8066</v>
      </c>
      <c r="K14" s="59">
        <v>7087</v>
      </c>
      <c r="M14" s="60">
        <f t="shared" si="0"/>
        <v>0</v>
      </c>
      <c r="N14" s="60">
        <f t="shared" si="0"/>
        <v>0</v>
      </c>
      <c r="O14" s="60">
        <f t="shared" si="0"/>
        <v>1.4700246658464458E-3</v>
      </c>
      <c r="P14" s="60">
        <f t="shared" si="0"/>
        <v>1.6864521420643615E-3</v>
      </c>
      <c r="Q14" s="60">
        <f t="shared" si="0"/>
        <v>1.2028315248255859E-3</v>
      </c>
      <c r="R14" s="60">
        <f t="shared" si="0"/>
        <v>1.3032492261905162E-3</v>
      </c>
      <c r="S14" s="60">
        <f t="shared" si="0"/>
        <v>1.631432314956435E-3</v>
      </c>
      <c r="T14" s="60">
        <f t="shared" si="0"/>
        <v>1.5765261468704285E-3</v>
      </c>
      <c r="U14" s="60">
        <f t="shared" si="0"/>
        <v>1.3875478162980273E-3</v>
      </c>
      <c r="V14" s="60">
        <f t="shared" si="0"/>
        <v>1.227931836701526E-3</v>
      </c>
      <c r="X14" s="61" t="str">
        <f t="shared" si="1"/>
        <v/>
      </c>
      <c r="Y14" s="61" t="str">
        <f t="shared" si="1"/>
        <v/>
      </c>
      <c r="Z14" s="61">
        <f t="shared" si="1"/>
        <v>0.25743333972760407</v>
      </c>
      <c r="AA14" s="61">
        <f t="shared" si="1"/>
        <v>-0.20320366132723111</v>
      </c>
      <c r="AB14" s="61">
        <f t="shared" si="1"/>
        <v>0.48363009764503162</v>
      </c>
      <c r="AC14" s="61">
        <f t="shared" si="1"/>
        <v>0.34043102335785269</v>
      </c>
      <c r="AD14" s="61">
        <f t="shared" si="1"/>
        <v>-0.12284586502358719</v>
      </c>
      <c r="AE14" s="61">
        <f t="shared" si="1"/>
        <v>-0.11469652068927672</v>
      </c>
      <c r="AF14" s="61">
        <f t="shared" si="1"/>
        <v>-0.12137366724522691</v>
      </c>
    </row>
    <row r="15" spans="1:32" ht="13.8" x14ac:dyDescent="0.3">
      <c r="A15" s="58" t="s">
        <v>14</v>
      </c>
      <c r="B15" s="59">
        <v>670732</v>
      </c>
      <c r="C15" s="59">
        <v>695209</v>
      </c>
      <c r="D15" s="59">
        <v>927685</v>
      </c>
      <c r="E15" s="59">
        <v>679347</v>
      </c>
      <c r="F15" s="59">
        <v>657385</v>
      </c>
      <c r="G15" s="59">
        <v>1763921</v>
      </c>
      <c r="H15" s="59">
        <v>1917060</v>
      </c>
      <c r="I15" s="59">
        <v>1185089</v>
      </c>
      <c r="J15" s="59">
        <v>1193199</v>
      </c>
      <c r="K15" s="59">
        <v>1092671</v>
      </c>
      <c r="M15" s="60">
        <f t="shared" si="0"/>
        <v>0.22531602196953154</v>
      </c>
      <c r="N15" s="60">
        <f t="shared" si="0"/>
        <v>0.22405880887470239</v>
      </c>
      <c r="O15" s="60">
        <f t="shared" si="0"/>
        <v>0.26159981433642049</v>
      </c>
      <c r="P15" s="60">
        <f t="shared" si="0"/>
        <v>0.17478050394431699</v>
      </c>
      <c r="Q15" s="60">
        <f t="shared" si="0"/>
        <v>0.15139257169202908</v>
      </c>
      <c r="R15" s="60">
        <f t="shared" si="0"/>
        <v>0.296661334147787</v>
      </c>
      <c r="S15" s="60">
        <f t="shared" si="0"/>
        <v>0.30110268929530981</v>
      </c>
      <c r="T15" s="60">
        <f t="shared" si="0"/>
        <v>0.20506242946641745</v>
      </c>
      <c r="U15" s="60">
        <f t="shared" si="0"/>
        <v>0.20525919499863499</v>
      </c>
      <c r="V15" s="60">
        <f t="shared" si="0"/>
        <v>0.18932206969669721</v>
      </c>
      <c r="X15" s="61">
        <f t="shared" si="1"/>
        <v>3.6492965893978546E-2</v>
      </c>
      <c r="Y15" s="61">
        <f t="shared" si="1"/>
        <v>0.33439728196844398</v>
      </c>
      <c r="Z15" s="61">
        <f t="shared" si="1"/>
        <v>-0.26769647024582699</v>
      </c>
      <c r="AA15" s="61">
        <f t="shared" si="1"/>
        <v>-3.2328103310973577E-2</v>
      </c>
      <c r="AB15" s="61">
        <f t="shared" si="1"/>
        <v>1.6832388934946798</v>
      </c>
      <c r="AC15" s="61">
        <f t="shared" si="1"/>
        <v>8.6817380143441758E-2</v>
      </c>
      <c r="AD15" s="61">
        <f t="shared" si="1"/>
        <v>-0.38181955703003556</v>
      </c>
      <c r="AE15" s="61">
        <f t="shared" si="1"/>
        <v>6.8433678820747357E-3</v>
      </c>
      <c r="AF15" s="61">
        <f t="shared" si="1"/>
        <v>-8.4250824883359776E-2</v>
      </c>
    </row>
    <row r="16" spans="1:32" ht="13.8" x14ac:dyDescent="0.3">
      <c r="A16" s="58" t="s">
        <v>16</v>
      </c>
      <c r="B16" s="59">
        <v>0</v>
      </c>
      <c r="C16" s="59">
        <v>0</v>
      </c>
      <c r="D16" s="59">
        <v>0</v>
      </c>
      <c r="E16" s="59">
        <v>0</v>
      </c>
      <c r="F16" s="59">
        <v>0</v>
      </c>
      <c r="G16" s="59">
        <v>0</v>
      </c>
      <c r="H16" s="59">
        <v>88573</v>
      </c>
      <c r="I16" s="59">
        <v>86740</v>
      </c>
      <c r="J16" s="59">
        <v>28558</v>
      </c>
      <c r="K16" s="59">
        <v>0</v>
      </c>
      <c r="M16" s="60">
        <f t="shared" si="0"/>
        <v>0</v>
      </c>
      <c r="N16" s="60">
        <f t="shared" si="0"/>
        <v>0</v>
      </c>
      <c r="O16" s="60">
        <f t="shared" si="0"/>
        <v>0</v>
      </c>
      <c r="P16" s="60">
        <f t="shared" si="0"/>
        <v>0</v>
      </c>
      <c r="Q16" s="60">
        <f t="shared" si="0"/>
        <v>0</v>
      </c>
      <c r="R16" s="60">
        <f t="shared" si="0"/>
        <v>0</v>
      </c>
      <c r="S16" s="60">
        <f t="shared" si="0"/>
        <v>1.391170255440804E-2</v>
      </c>
      <c r="T16" s="60">
        <f t="shared" si="0"/>
        <v>1.5009096474540773E-2</v>
      </c>
      <c r="U16" s="60">
        <f t="shared" si="0"/>
        <v>4.9126692955416638E-3</v>
      </c>
      <c r="V16" s="60">
        <f t="shared" si="0"/>
        <v>0</v>
      </c>
      <c r="X16" s="61" t="str">
        <f t="shared" si="1"/>
        <v/>
      </c>
      <c r="Y16" s="61" t="str">
        <f t="shared" si="1"/>
        <v/>
      </c>
      <c r="Z16" s="61" t="str">
        <f t="shared" si="1"/>
        <v/>
      </c>
      <c r="AA16" s="61" t="str">
        <f t="shared" si="1"/>
        <v/>
      </c>
      <c r="AB16" s="61" t="str">
        <f t="shared" si="1"/>
        <v/>
      </c>
      <c r="AC16" s="61" t="str">
        <f t="shared" si="1"/>
        <v/>
      </c>
      <c r="AD16" s="61">
        <f t="shared" si="1"/>
        <v>-2.0694794124620386E-2</v>
      </c>
      <c r="AE16" s="61">
        <f t="shared" si="1"/>
        <v>-0.67076320036891857</v>
      </c>
      <c r="AF16" s="61">
        <f t="shared" si="1"/>
        <v>-1</v>
      </c>
    </row>
    <row r="17" spans="1:32" ht="13.8" x14ac:dyDescent="0.3">
      <c r="A17" s="58" t="s">
        <v>17</v>
      </c>
      <c r="B17" s="59">
        <v>3470</v>
      </c>
      <c r="C17" s="59">
        <v>3070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M17" s="60">
        <f t="shared" si="0"/>
        <v>1.1656616893696357E-3</v>
      </c>
      <c r="N17" s="60">
        <f t="shared" si="0"/>
        <v>9.8942985957508668E-4</v>
      </c>
      <c r="O17" s="60">
        <f t="shared" si="0"/>
        <v>0</v>
      </c>
      <c r="P17" s="60">
        <f t="shared" si="0"/>
        <v>0</v>
      </c>
      <c r="Q17" s="60">
        <f t="shared" si="0"/>
        <v>0</v>
      </c>
      <c r="R17" s="60">
        <f t="shared" si="0"/>
        <v>0</v>
      </c>
      <c r="S17" s="60">
        <f t="shared" si="0"/>
        <v>0</v>
      </c>
      <c r="T17" s="60">
        <f t="shared" si="0"/>
        <v>0</v>
      </c>
      <c r="U17" s="60">
        <f t="shared" si="0"/>
        <v>0</v>
      </c>
      <c r="V17" s="60">
        <f t="shared" si="0"/>
        <v>0</v>
      </c>
      <c r="X17" s="61">
        <f t="shared" si="1"/>
        <v>-0.11527377521613835</v>
      </c>
      <c r="Y17" s="61">
        <f t="shared" si="1"/>
        <v>-1</v>
      </c>
      <c r="Z17" s="61" t="str">
        <f t="shared" si="1"/>
        <v/>
      </c>
      <c r="AA17" s="61" t="str">
        <f t="shared" si="1"/>
        <v/>
      </c>
      <c r="AB17" s="61" t="str">
        <f t="shared" si="1"/>
        <v/>
      </c>
      <c r="AC17" s="61" t="str">
        <f t="shared" si="1"/>
        <v/>
      </c>
      <c r="AD17" s="61" t="str">
        <f t="shared" si="1"/>
        <v/>
      </c>
      <c r="AE17" s="61" t="str">
        <f t="shared" si="1"/>
        <v/>
      </c>
      <c r="AF17" s="61" t="str">
        <f t="shared" si="1"/>
        <v/>
      </c>
    </row>
    <row r="18" spans="1:32" ht="13.8" x14ac:dyDescent="0.3">
      <c r="A18" s="58" t="s">
        <v>19</v>
      </c>
      <c r="B18" s="59">
        <v>1137979</v>
      </c>
      <c r="C18" s="59">
        <v>1335258</v>
      </c>
      <c r="D18" s="59">
        <v>1589021</v>
      </c>
      <c r="E18" s="59">
        <v>1594730</v>
      </c>
      <c r="F18" s="59">
        <v>1801245</v>
      </c>
      <c r="G18" s="59">
        <v>3222912</v>
      </c>
      <c r="H18" s="59">
        <v>3367211</v>
      </c>
      <c r="I18" s="59">
        <v>2512984</v>
      </c>
      <c r="J18" s="59">
        <v>2388935</v>
      </c>
      <c r="K18" s="59">
        <v>2329085</v>
      </c>
      <c r="M18" s="60">
        <f t="shared" si="0"/>
        <v>0.3822762315870803</v>
      </c>
      <c r="N18" s="60">
        <f t="shared" si="0"/>
        <v>0.43034010926270716</v>
      </c>
      <c r="O18" s="60">
        <f t="shared" si="0"/>
        <v>0.44809132256819201</v>
      </c>
      <c r="P18" s="60">
        <f t="shared" si="0"/>
        <v>0.41028769252697167</v>
      </c>
      <c r="Q18" s="60">
        <f t="shared" si="0"/>
        <v>0.41481797241709029</v>
      </c>
      <c r="R18" s="60">
        <f t="shared" si="0"/>
        <v>0.54203865919217054</v>
      </c>
      <c r="S18" s="60">
        <f t="shared" si="0"/>
        <v>0.52887039921794288</v>
      </c>
      <c r="T18" s="60">
        <f t="shared" si="0"/>
        <v>0.43483536194347899</v>
      </c>
      <c r="U18" s="60">
        <f t="shared" si="0"/>
        <v>0.41095481558739494</v>
      </c>
      <c r="V18" s="60">
        <f t="shared" si="0"/>
        <v>0.40354982670861766</v>
      </c>
      <c r="X18" s="61">
        <f t="shared" si="1"/>
        <v>0.17335908659122889</v>
      </c>
      <c r="Y18" s="61">
        <f t="shared" si="1"/>
        <v>0.19004791583349445</v>
      </c>
      <c r="Z18" s="61">
        <f t="shared" si="1"/>
        <v>3.5927781948759119E-3</v>
      </c>
      <c r="AA18" s="61">
        <f t="shared" si="1"/>
        <v>0.12949841038921939</v>
      </c>
      <c r="AB18" s="61">
        <f t="shared" si="1"/>
        <v>0.78926908888019121</v>
      </c>
      <c r="AC18" s="61">
        <f t="shared" si="1"/>
        <v>4.477286379522627E-2</v>
      </c>
      <c r="AD18" s="61">
        <f t="shared" si="1"/>
        <v>-0.25368977471266274</v>
      </c>
      <c r="AE18" s="61">
        <f t="shared" si="1"/>
        <v>-4.9363227143507493E-2</v>
      </c>
      <c r="AF18" s="61">
        <f t="shared" si="1"/>
        <v>-2.5053004790837718E-2</v>
      </c>
    </row>
    <row r="19" spans="1:32" ht="13.8" x14ac:dyDescent="0.3">
      <c r="A19" s="58" t="s">
        <v>20</v>
      </c>
      <c r="B19" s="59">
        <v>123116</v>
      </c>
      <c r="C19" s="59">
        <v>74952</v>
      </c>
      <c r="D19" s="59">
        <v>63161</v>
      </c>
      <c r="E19" s="59">
        <v>10597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M19" s="60">
        <f t="shared" si="0"/>
        <v>4.1357811109058236E-2</v>
      </c>
      <c r="N19" s="60">
        <f t="shared" si="0"/>
        <v>2.4156269327319835E-2</v>
      </c>
      <c r="O19" s="60">
        <f t="shared" si="0"/>
        <v>1.7810901193080254E-2</v>
      </c>
      <c r="P19" s="60">
        <f t="shared" si="0"/>
        <v>2.7263666437003873E-3</v>
      </c>
      <c r="Q19" s="60">
        <f t="shared" si="0"/>
        <v>0</v>
      </c>
      <c r="R19" s="60">
        <f t="shared" si="0"/>
        <v>0</v>
      </c>
      <c r="S19" s="60">
        <f t="shared" si="0"/>
        <v>0</v>
      </c>
      <c r="T19" s="60">
        <f t="shared" si="0"/>
        <v>0</v>
      </c>
      <c r="U19" s="60">
        <f t="shared" si="0"/>
        <v>0</v>
      </c>
      <c r="V19" s="60">
        <f t="shared" si="0"/>
        <v>0</v>
      </c>
      <c r="X19" s="61">
        <f t="shared" si="1"/>
        <v>-0.3912082913674908</v>
      </c>
      <c r="Y19" s="61">
        <f t="shared" si="1"/>
        <v>-0.15731401430248693</v>
      </c>
      <c r="Z19" s="61">
        <f t="shared" si="1"/>
        <v>-0.83222241573122657</v>
      </c>
      <c r="AA19" s="61">
        <f t="shared" si="1"/>
        <v>-1</v>
      </c>
      <c r="AB19" s="61" t="str">
        <f t="shared" si="1"/>
        <v/>
      </c>
      <c r="AC19" s="61" t="str">
        <f t="shared" si="1"/>
        <v/>
      </c>
      <c r="AD19" s="61" t="str">
        <f t="shared" si="1"/>
        <v/>
      </c>
      <c r="AE19" s="61" t="str">
        <f t="shared" si="1"/>
        <v/>
      </c>
      <c r="AF19" s="61" t="str">
        <f t="shared" si="1"/>
        <v/>
      </c>
    </row>
    <row r="20" spans="1:32" ht="13.8" x14ac:dyDescent="0.3">
      <c r="A20" s="62" t="s">
        <v>21</v>
      </c>
      <c r="B20" s="63">
        <v>1261095</v>
      </c>
      <c r="C20" s="63">
        <v>1410210</v>
      </c>
      <c r="D20" s="63">
        <v>1652182</v>
      </c>
      <c r="E20" s="63">
        <v>1605327</v>
      </c>
      <c r="F20" s="63">
        <v>1801245</v>
      </c>
      <c r="G20" s="63">
        <v>3222912</v>
      </c>
      <c r="H20" s="63">
        <v>3367211</v>
      </c>
      <c r="I20" s="63">
        <v>2512984</v>
      </c>
      <c r="J20" s="63">
        <v>2388935</v>
      </c>
      <c r="K20" s="63">
        <v>2329085</v>
      </c>
      <c r="M20" s="64">
        <f t="shared" si="0"/>
        <v>0.42363404269613852</v>
      </c>
      <c r="N20" s="64">
        <f t="shared" si="0"/>
        <v>0.45449637859002701</v>
      </c>
      <c r="O20" s="64">
        <f t="shared" si="0"/>
        <v>0.46590222376127227</v>
      </c>
      <c r="P20" s="64">
        <f t="shared" si="0"/>
        <v>0.41301405917067202</v>
      </c>
      <c r="Q20" s="64">
        <f t="shared" si="0"/>
        <v>0.41481797241709029</v>
      </c>
      <c r="R20" s="64">
        <f t="shared" si="0"/>
        <v>0.54203865919217054</v>
      </c>
      <c r="S20" s="64">
        <f t="shared" si="0"/>
        <v>0.52887039921794288</v>
      </c>
      <c r="T20" s="64">
        <f t="shared" si="0"/>
        <v>0.43483536194347899</v>
      </c>
      <c r="U20" s="64">
        <f t="shared" si="0"/>
        <v>0.41095481558739494</v>
      </c>
      <c r="V20" s="64">
        <f t="shared" si="0"/>
        <v>0.40354982670861766</v>
      </c>
      <c r="X20" s="65">
        <f t="shared" si="1"/>
        <v>0.11824247974974122</v>
      </c>
      <c r="Y20" s="65">
        <f t="shared" si="1"/>
        <v>0.17158579218697922</v>
      </c>
      <c r="Z20" s="65">
        <f t="shared" si="1"/>
        <v>-2.83594664510326E-2</v>
      </c>
      <c r="AA20" s="65">
        <f t="shared" si="1"/>
        <v>0.1220424250012615</v>
      </c>
      <c r="AB20" s="65">
        <f t="shared" si="1"/>
        <v>0.78926908888019121</v>
      </c>
      <c r="AC20" s="65">
        <f t="shared" si="1"/>
        <v>4.477286379522627E-2</v>
      </c>
      <c r="AD20" s="65">
        <f t="shared" si="1"/>
        <v>-0.25368977471266274</v>
      </c>
      <c r="AE20" s="65">
        <f t="shared" si="1"/>
        <v>-4.9363227143507493E-2</v>
      </c>
      <c r="AF20" s="65">
        <f t="shared" si="1"/>
        <v>-2.5053004790837718E-2</v>
      </c>
    </row>
    <row r="21" spans="1:32" ht="13.8" x14ac:dyDescent="0.3">
      <c r="A21" s="66" t="s">
        <v>22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32" ht="13.8" x14ac:dyDescent="0.3">
      <c r="A22" s="58" t="s">
        <v>8</v>
      </c>
      <c r="B22" s="59">
        <v>0</v>
      </c>
      <c r="C22" s="59">
        <v>0</v>
      </c>
      <c r="D22" s="59">
        <v>27651</v>
      </c>
      <c r="E22" s="59">
        <v>24080</v>
      </c>
      <c r="F22" s="59">
        <v>20093</v>
      </c>
      <c r="G22" s="59">
        <v>19077</v>
      </c>
      <c r="H22" s="59">
        <v>50434</v>
      </c>
      <c r="I22" s="59">
        <v>36826</v>
      </c>
      <c r="J22" s="59">
        <v>22675</v>
      </c>
      <c r="K22" s="59">
        <v>10930</v>
      </c>
      <c r="M22" s="60">
        <f t="shared" ref="M22:V32" si="2">IFERROR(B22/B$32,"")</f>
        <v>0</v>
      </c>
      <c r="N22" s="60">
        <f t="shared" si="2"/>
        <v>0</v>
      </c>
      <c r="O22" s="60">
        <f t="shared" si="2"/>
        <v>7.7973627537540899E-3</v>
      </c>
      <c r="P22" s="60">
        <f t="shared" si="2"/>
        <v>6.1952353288954728E-3</v>
      </c>
      <c r="Q22" s="60">
        <f t="shared" si="2"/>
        <v>4.6273202811258855E-3</v>
      </c>
      <c r="R22" s="60">
        <f t="shared" si="2"/>
        <v>3.2084250210396795E-3</v>
      </c>
      <c r="S22" s="60">
        <f t="shared" si="2"/>
        <v>7.9214072756823763E-3</v>
      </c>
      <c r="T22" s="60">
        <f t="shared" si="2"/>
        <v>6.3722041361706071E-3</v>
      </c>
      <c r="U22" s="60">
        <f t="shared" si="2"/>
        <v>3.9006504753976898E-3</v>
      </c>
      <c r="V22" s="60">
        <f t="shared" si="2"/>
        <v>1.8937907401083221E-3</v>
      </c>
      <c r="X22" s="61" t="str">
        <f t="shared" ref="X22:AF32" si="3">IFERROR(IF(B22=0,"",C22/B22-1),"")</f>
        <v/>
      </c>
      <c r="Y22" s="61" t="str">
        <f t="shared" si="3"/>
        <v/>
      </c>
      <c r="Z22" s="61">
        <f t="shared" si="3"/>
        <v>-0.1291454196954902</v>
      </c>
      <c r="AA22" s="61">
        <f t="shared" si="3"/>
        <v>-0.16557308970099671</v>
      </c>
      <c r="AB22" s="61">
        <f t="shared" si="3"/>
        <v>-5.0564873338973748E-2</v>
      </c>
      <c r="AC22" s="61">
        <f t="shared" si="3"/>
        <v>1.6437070818262831</v>
      </c>
      <c r="AD22" s="61">
        <f t="shared" si="3"/>
        <v>-0.26981797993417134</v>
      </c>
      <c r="AE22" s="61">
        <f t="shared" si="3"/>
        <v>-0.38426655080649541</v>
      </c>
      <c r="AF22" s="61">
        <f t="shared" si="3"/>
        <v>-0.51797133406835716</v>
      </c>
    </row>
    <row r="23" spans="1:32" ht="13.8" x14ac:dyDescent="0.3">
      <c r="A23" s="58" t="s">
        <v>23</v>
      </c>
      <c r="B23" s="59">
        <v>238801</v>
      </c>
      <c r="C23" s="59">
        <v>241939</v>
      </c>
      <c r="D23" s="59">
        <v>330936</v>
      </c>
      <c r="E23" s="59">
        <v>346044</v>
      </c>
      <c r="F23" s="59">
        <v>355817</v>
      </c>
      <c r="G23" s="59">
        <v>205487</v>
      </c>
      <c r="H23" s="59">
        <v>218727</v>
      </c>
      <c r="I23" s="59">
        <v>227909</v>
      </c>
      <c r="J23" s="59">
        <v>235298</v>
      </c>
      <c r="K23" s="59">
        <v>301112</v>
      </c>
      <c r="M23" s="60">
        <f t="shared" si="2"/>
        <v>8.021935938995918E-2</v>
      </c>
      <c r="N23" s="60">
        <f t="shared" si="2"/>
        <v>7.7974485601217225E-2</v>
      </c>
      <c r="O23" s="60">
        <f t="shared" si="2"/>
        <v>9.3321327990899552E-2</v>
      </c>
      <c r="P23" s="60">
        <f t="shared" si="2"/>
        <v>8.9029236468118986E-2</v>
      </c>
      <c r="Q23" s="60">
        <f t="shared" si="2"/>
        <v>8.1942926415635747E-2</v>
      </c>
      <c r="R23" s="60">
        <f t="shared" si="2"/>
        <v>3.4559397824520659E-2</v>
      </c>
      <c r="S23" s="60">
        <f t="shared" si="2"/>
        <v>3.4354317507795912E-2</v>
      </c>
      <c r="T23" s="60">
        <f t="shared" si="2"/>
        <v>3.9436340424442162E-2</v>
      </c>
      <c r="U23" s="60">
        <f t="shared" si="2"/>
        <v>4.0476968271670369E-2</v>
      </c>
      <c r="V23" s="60">
        <f t="shared" si="2"/>
        <v>5.2172288868755454E-2</v>
      </c>
      <c r="X23" s="61">
        <f t="shared" si="3"/>
        <v>1.314064848974672E-2</v>
      </c>
      <c r="Y23" s="61">
        <f t="shared" si="3"/>
        <v>0.36784892059568741</v>
      </c>
      <c r="Z23" s="61">
        <f t="shared" si="3"/>
        <v>4.565233156864168E-2</v>
      </c>
      <c r="AA23" s="61">
        <f t="shared" si="3"/>
        <v>2.8242073262359613E-2</v>
      </c>
      <c r="AB23" s="61">
        <f t="shared" si="3"/>
        <v>-0.4224924610122619</v>
      </c>
      <c r="AC23" s="61">
        <f t="shared" si="3"/>
        <v>6.4432299853518726E-2</v>
      </c>
      <c r="AD23" s="61">
        <f t="shared" si="3"/>
        <v>4.1979270963347082E-2</v>
      </c>
      <c r="AE23" s="61">
        <f t="shared" si="3"/>
        <v>3.2420834631366136E-2</v>
      </c>
      <c r="AF23" s="61">
        <f t="shared" si="3"/>
        <v>0.27970488486939971</v>
      </c>
    </row>
    <row r="24" spans="1:32" ht="13.8" x14ac:dyDescent="0.3">
      <c r="A24" s="58" t="s">
        <v>9</v>
      </c>
      <c r="B24" s="59">
        <v>14641</v>
      </c>
      <c r="C24" s="59">
        <v>17164</v>
      </c>
      <c r="D24" s="59">
        <v>22854</v>
      </c>
      <c r="E24" s="59">
        <v>17788</v>
      </c>
      <c r="F24" s="59">
        <v>17788</v>
      </c>
      <c r="G24" s="59">
        <v>13295</v>
      </c>
      <c r="H24" s="59">
        <v>11650</v>
      </c>
      <c r="I24" s="59">
        <v>11801</v>
      </c>
      <c r="J24" s="59">
        <v>22850</v>
      </c>
      <c r="K24" s="59">
        <v>45554</v>
      </c>
      <c r="M24" s="60">
        <f t="shared" si="2"/>
        <v>4.9182861077985114E-3</v>
      </c>
      <c r="N24" s="60">
        <f t="shared" si="2"/>
        <v>5.5317830976373897E-3</v>
      </c>
      <c r="O24" s="60">
        <f t="shared" si="2"/>
        <v>6.444646789421575E-3</v>
      </c>
      <c r="P24" s="60">
        <f t="shared" si="2"/>
        <v>4.5764470942854102E-3</v>
      </c>
      <c r="Q24" s="60">
        <f t="shared" si="2"/>
        <v>4.0964899796280914E-3</v>
      </c>
      <c r="R24" s="60">
        <f t="shared" si="2"/>
        <v>2.2359915424187524E-3</v>
      </c>
      <c r="S24" s="60">
        <f t="shared" si="2"/>
        <v>1.8298051862176245E-3</v>
      </c>
      <c r="T24" s="60">
        <f t="shared" si="2"/>
        <v>2.041991555177031E-3</v>
      </c>
      <c r="U24" s="60">
        <f t="shared" si="2"/>
        <v>3.9307547238296454E-3</v>
      </c>
      <c r="V24" s="60">
        <f t="shared" si="2"/>
        <v>7.8929316902922701E-3</v>
      </c>
      <c r="X24" s="61">
        <f t="shared" si="3"/>
        <v>0.17232429478860745</v>
      </c>
      <c r="Y24" s="61">
        <f t="shared" si="3"/>
        <v>0.33150780703798644</v>
      </c>
      <c r="Z24" s="61">
        <f t="shared" si="3"/>
        <v>-0.2216679793471602</v>
      </c>
      <c r="AA24" s="61">
        <f t="shared" si="3"/>
        <v>0</v>
      </c>
      <c r="AB24" s="61">
        <f t="shared" si="3"/>
        <v>-0.25258601304250061</v>
      </c>
      <c r="AC24" s="61">
        <f t="shared" si="3"/>
        <v>-0.1237307258367808</v>
      </c>
      <c r="AD24" s="61">
        <f t="shared" si="3"/>
        <v>1.2961373390558029E-2</v>
      </c>
      <c r="AE24" s="61">
        <f t="shared" si="3"/>
        <v>0.93627658672993808</v>
      </c>
      <c r="AF24" s="61">
        <f t="shared" si="3"/>
        <v>0.99361050328227574</v>
      </c>
    </row>
    <row r="25" spans="1:32" ht="13.8" x14ac:dyDescent="0.3">
      <c r="A25" s="58" t="s">
        <v>11</v>
      </c>
      <c r="B25" s="59">
        <v>0</v>
      </c>
      <c r="C25" s="59">
        <v>8549</v>
      </c>
      <c r="D25" s="59">
        <v>13725</v>
      </c>
      <c r="E25" s="59">
        <v>4197</v>
      </c>
      <c r="F25" s="59">
        <v>4197</v>
      </c>
      <c r="G25" s="59">
        <v>4197</v>
      </c>
      <c r="H25" s="59">
        <v>0</v>
      </c>
      <c r="I25" s="59">
        <v>0</v>
      </c>
      <c r="J25" s="59">
        <v>12341</v>
      </c>
      <c r="K25" s="59">
        <v>45525</v>
      </c>
      <c r="M25" s="60">
        <f t="shared" si="2"/>
        <v>0</v>
      </c>
      <c r="N25" s="60">
        <f t="shared" si="2"/>
        <v>2.7552559835529039E-3</v>
      </c>
      <c r="O25" s="60">
        <f t="shared" si="2"/>
        <v>3.8703411737468765E-3</v>
      </c>
      <c r="P25" s="60">
        <f t="shared" si="2"/>
        <v>1.0797924699075705E-3</v>
      </c>
      <c r="Q25" s="60">
        <f t="shared" si="2"/>
        <v>9.665487094951148E-4</v>
      </c>
      <c r="R25" s="60">
        <f t="shared" si="2"/>
        <v>7.0586359560221917E-4</v>
      </c>
      <c r="S25" s="60">
        <f t="shared" si="2"/>
        <v>0</v>
      </c>
      <c r="T25" s="60">
        <f t="shared" si="2"/>
        <v>0</v>
      </c>
      <c r="U25" s="60">
        <f t="shared" si="2"/>
        <v>2.1229515994215169E-3</v>
      </c>
      <c r="V25" s="60">
        <f t="shared" si="2"/>
        <v>7.8879069939095485E-3</v>
      </c>
      <c r="X25" s="61" t="str">
        <f t="shared" si="3"/>
        <v/>
      </c>
      <c r="Y25" s="61">
        <f t="shared" si="3"/>
        <v>0.6054509299333255</v>
      </c>
      <c r="Z25" s="61">
        <f t="shared" si="3"/>
        <v>-0.69420765027322406</v>
      </c>
      <c r="AA25" s="61">
        <f t="shared" si="3"/>
        <v>0</v>
      </c>
      <c r="AB25" s="61">
        <f t="shared" si="3"/>
        <v>0</v>
      </c>
      <c r="AC25" s="61">
        <f t="shared" si="3"/>
        <v>-1</v>
      </c>
      <c r="AD25" s="61" t="str">
        <f t="shared" si="3"/>
        <v/>
      </c>
      <c r="AE25" s="61" t="str">
        <f t="shared" si="3"/>
        <v/>
      </c>
      <c r="AF25" s="61">
        <f t="shared" si="3"/>
        <v>2.6889231018556035</v>
      </c>
    </row>
    <row r="26" spans="1:32" ht="13.8" x14ac:dyDescent="0.3">
      <c r="A26" s="58" t="s">
        <v>12</v>
      </c>
      <c r="B26" s="59">
        <v>14641</v>
      </c>
      <c r="C26" s="59">
        <v>8615</v>
      </c>
      <c r="D26" s="59">
        <v>9129</v>
      </c>
      <c r="E26" s="59">
        <v>13591</v>
      </c>
      <c r="F26" s="59">
        <v>13591</v>
      </c>
      <c r="G26" s="59">
        <v>9098</v>
      </c>
      <c r="H26" s="59">
        <v>11650</v>
      </c>
      <c r="I26" s="59">
        <v>11801</v>
      </c>
      <c r="J26" s="59">
        <v>10509</v>
      </c>
      <c r="K26" s="59">
        <v>29</v>
      </c>
      <c r="M26" s="60">
        <f t="shared" si="2"/>
        <v>4.9182861077985114E-3</v>
      </c>
      <c r="N26" s="60">
        <f t="shared" si="2"/>
        <v>2.7765271140844858E-3</v>
      </c>
      <c r="O26" s="60">
        <f t="shared" si="2"/>
        <v>2.5743056156746985E-3</v>
      </c>
      <c r="P26" s="60">
        <f t="shared" si="2"/>
        <v>3.4966546243778394E-3</v>
      </c>
      <c r="Q26" s="60">
        <f t="shared" si="2"/>
        <v>3.129941270132977E-3</v>
      </c>
      <c r="R26" s="60">
        <f t="shared" si="2"/>
        <v>1.5301279468165332E-3</v>
      </c>
      <c r="S26" s="60">
        <f t="shared" si="2"/>
        <v>1.8298051862176245E-3</v>
      </c>
      <c r="T26" s="60">
        <f t="shared" si="2"/>
        <v>2.041991555177031E-3</v>
      </c>
      <c r="U26" s="60">
        <f t="shared" si="2"/>
        <v>1.807803124408129E-3</v>
      </c>
      <c r="V26" s="60">
        <f t="shared" si="2"/>
        <v>5.0246963827210742E-6</v>
      </c>
      <c r="X26" s="61">
        <f t="shared" si="3"/>
        <v>-0.41158390820299162</v>
      </c>
      <c r="Y26" s="61">
        <f t="shared" si="3"/>
        <v>5.966337782936737E-2</v>
      </c>
      <c r="Z26" s="61">
        <f t="shared" si="3"/>
        <v>0.48877204513090144</v>
      </c>
      <c r="AA26" s="61">
        <f t="shared" si="3"/>
        <v>0</v>
      </c>
      <c r="AB26" s="61">
        <f t="shared" si="3"/>
        <v>-0.33058641748215734</v>
      </c>
      <c r="AC26" s="61">
        <f t="shared" si="3"/>
        <v>0.28050120905693565</v>
      </c>
      <c r="AD26" s="61">
        <f t="shared" si="3"/>
        <v>1.2961373390558029E-2</v>
      </c>
      <c r="AE26" s="61">
        <f t="shared" si="3"/>
        <v>-0.1094822472671807</v>
      </c>
      <c r="AF26" s="61">
        <f t="shared" si="3"/>
        <v>-0.99724046055761728</v>
      </c>
    </row>
    <row r="27" spans="1:32" ht="13.8" x14ac:dyDescent="0.3">
      <c r="A27" s="58" t="s">
        <v>24</v>
      </c>
      <c r="B27" s="59">
        <v>0</v>
      </c>
      <c r="C27" s="59">
        <v>0</v>
      </c>
      <c r="D27" s="59">
        <v>0</v>
      </c>
      <c r="E27" s="59">
        <v>0</v>
      </c>
      <c r="F27" s="59">
        <v>10597</v>
      </c>
      <c r="G27" s="59">
        <v>10597</v>
      </c>
      <c r="H27" s="59">
        <v>22556</v>
      </c>
      <c r="I27" s="59">
        <v>17830</v>
      </c>
      <c r="J27" s="59">
        <v>18155</v>
      </c>
      <c r="K27" s="59">
        <v>16402</v>
      </c>
      <c r="M27" s="60">
        <f t="shared" si="2"/>
        <v>0</v>
      </c>
      <c r="N27" s="60">
        <f t="shared" si="2"/>
        <v>0</v>
      </c>
      <c r="O27" s="60">
        <f t="shared" si="2"/>
        <v>0</v>
      </c>
      <c r="P27" s="60">
        <f t="shared" si="2"/>
        <v>0</v>
      </c>
      <c r="Q27" s="60">
        <f t="shared" si="2"/>
        <v>2.4404376160399644E-3</v>
      </c>
      <c r="R27" s="60">
        <f t="shared" si="2"/>
        <v>1.7822341011667184E-3</v>
      </c>
      <c r="S27" s="60">
        <f t="shared" si="2"/>
        <v>3.5427541442338835E-3</v>
      </c>
      <c r="T27" s="60">
        <f t="shared" si="2"/>
        <v>3.0852223903742445E-3</v>
      </c>
      <c r="U27" s="60">
        <f t="shared" si="2"/>
        <v>3.1231007444694624E-3</v>
      </c>
      <c r="V27" s="60">
        <f t="shared" si="2"/>
        <v>2.8418989679100367E-3</v>
      </c>
      <c r="X27" s="61" t="str">
        <f t="shared" si="3"/>
        <v/>
      </c>
      <c r="Y27" s="61" t="str">
        <f t="shared" si="3"/>
        <v/>
      </c>
      <c r="Z27" s="61" t="str">
        <f t="shared" si="3"/>
        <v/>
      </c>
      <c r="AA27" s="61" t="str">
        <f t="shared" si="3"/>
        <v/>
      </c>
      <c r="AB27" s="61">
        <f t="shared" si="3"/>
        <v>0</v>
      </c>
      <c r="AC27" s="61">
        <f t="shared" si="3"/>
        <v>1.1285269415872419</v>
      </c>
      <c r="AD27" s="61">
        <f t="shared" si="3"/>
        <v>-0.20952296506472778</v>
      </c>
      <c r="AE27" s="61">
        <f t="shared" si="3"/>
        <v>1.8227706113292275E-2</v>
      </c>
      <c r="AF27" s="61">
        <f t="shared" si="3"/>
        <v>-9.655742219774166E-2</v>
      </c>
    </row>
    <row r="28" spans="1:32" ht="13.8" x14ac:dyDescent="0.3">
      <c r="A28" s="58" t="s">
        <v>25</v>
      </c>
      <c r="B28" s="59">
        <v>1375692</v>
      </c>
      <c r="C28" s="59">
        <v>1351902</v>
      </c>
      <c r="D28" s="59">
        <v>1436633</v>
      </c>
      <c r="E28" s="59">
        <v>1822419</v>
      </c>
      <c r="F28" s="59">
        <v>2077436</v>
      </c>
      <c r="G28" s="59">
        <v>2424293</v>
      </c>
      <c r="H28" s="59">
        <v>2653111</v>
      </c>
      <c r="I28" s="59">
        <v>2931728</v>
      </c>
      <c r="J28" s="59">
        <v>3085581</v>
      </c>
      <c r="K28" s="59">
        <v>3032246</v>
      </c>
      <c r="M28" s="60">
        <f t="shared" si="2"/>
        <v>0.46213010396896048</v>
      </c>
      <c r="N28" s="60">
        <f t="shared" si="2"/>
        <v>0.43570430163494422</v>
      </c>
      <c r="O28" s="60">
        <f t="shared" si="2"/>
        <v>0.40511911486072832</v>
      </c>
      <c r="P28" s="60">
        <f t="shared" si="2"/>
        <v>0.46886688425458301</v>
      </c>
      <c r="Q28" s="60">
        <f t="shared" si="2"/>
        <v>0.47842341788389164</v>
      </c>
      <c r="R28" s="60">
        <f t="shared" si="2"/>
        <v>0.40772460656976195</v>
      </c>
      <c r="S28" s="60">
        <f t="shared" si="2"/>
        <v>0.41671040921983077</v>
      </c>
      <c r="T28" s="60">
        <f t="shared" si="2"/>
        <v>0.50729292586018526</v>
      </c>
      <c r="U28" s="60">
        <f t="shared" si="2"/>
        <v>0.53079483989098475</v>
      </c>
      <c r="V28" s="60">
        <f t="shared" si="2"/>
        <v>0.5253832933696706</v>
      </c>
      <c r="X28" s="61">
        <f t="shared" si="3"/>
        <v>-1.7293115028654715E-2</v>
      </c>
      <c r="Y28" s="61">
        <f t="shared" si="3"/>
        <v>6.2675401027589173E-2</v>
      </c>
      <c r="Z28" s="61">
        <f t="shared" si="3"/>
        <v>0.26853483109464982</v>
      </c>
      <c r="AA28" s="61">
        <f t="shared" si="3"/>
        <v>0.13993324257484141</v>
      </c>
      <c r="AB28" s="61">
        <f t="shared" si="3"/>
        <v>0.16696398830096326</v>
      </c>
      <c r="AC28" s="61">
        <f t="shared" si="3"/>
        <v>9.4385455883426728E-2</v>
      </c>
      <c r="AD28" s="61">
        <f t="shared" si="3"/>
        <v>0.10501520667623776</v>
      </c>
      <c r="AE28" s="61">
        <f t="shared" si="3"/>
        <v>5.247860647372482E-2</v>
      </c>
      <c r="AF28" s="61">
        <f t="shared" si="3"/>
        <v>-1.7285237366965855E-2</v>
      </c>
    </row>
    <row r="29" spans="1:32" ht="13.8" x14ac:dyDescent="0.3">
      <c r="A29" s="58" t="s">
        <v>26</v>
      </c>
      <c r="B29" s="59">
        <v>47558</v>
      </c>
      <c r="C29" s="59">
        <v>43727</v>
      </c>
      <c r="D29" s="59">
        <v>39572</v>
      </c>
      <c r="E29" s="59">
        <v>35176</v>
      </c>
      <c r="F29" s="59">
        <v>23637</v>
      </c>
      <c r="G29" s="59">
        <v>14977</v>
      </c>
      <c r="H29" s="59">
        <v>8187</v>
      </c>
      <c r="I29" s="59">
        <v>5508</v>
      </c>
      <c r="J29" s="59">
        <v>5400</v>
      </c>
      <c r="K29" s="59">
        <v>2290</v>
      </c>
      <c r="M29" s="60">
        <f t="shared" si="2"/>
        <v>1.5975947729983037E-2</v>
      </c>
      <c r="N29" s="60">
        <f t="shared" si="2"/>
        <v>1.4092768556885932E-2</v>
      </c>
      <c r="O29" s="60">
        <f t="shared" si="2"/>
        <v>1.1158990231512671E-2</v>
      </c>
      <c r="P29" s="60">
        <f t="shared" si="2"/>
        <v>9.0499833027087688E-3</v>
      </c>
      <c r="Q29" s="60">
        <f t="shared" si="2"/>
        <v>5.4434862631250955E-3</v>
      </c>
      <c r="R29" s="60">
        <f t="shared" si="2"/>
        <v>2.5188751659124225E-3</v>
      </c>
      <c r="S29" s="60">
        <f t="shared" si="2"/>
        <v>1.2858897046835788E-3</v>
      </c>
      <c r="T29" s="60">
        <f t="shared" si="2"/>
        <v>9.5307935648801675E-4</v>
      </c>
      <c r="U29" s="60">
        <f t="shared" si="2"/>
        <v>9.2893109447177624E-4</v>
      </c>
      <c r="V29" s="60">
        <f t="shared" si="2"/>
        <v>3.9677774884245724E-4</v>
      </c>
      <c r="X29" s="61">
        <f t="shared" si="3"/>
        <v>-8.0554270574876963E-2</v>
      </c>
      <c r="Y29" s="61">
        <f t="shared" si="3"/>
        <v>-9.5021382669746357E-2</v>
      </c>
      <c r="Z29" s="61">
        <f t="shared" si="3"/>
        <v>-0.11108864853937128</v>
      </c>
      <c r="AA29" s="61">
        <f t="shared" si="3"/>
        <v>-0.32803616101887656</v>
      </c>
      <c r="AB29" s="61">
        <f t="shared" si="3"/>
        <v>-0.36637475144899945</v>
      </c>
      <c r="AC29" s="61">
        <f t="shared" si="3"/>
        <v>-0.45336182145957138</v>
      </c>
      <c r="AD29" s="61">
        <f t="shared" si="3"/>
        <v>-0.32722609014290949</v>
      </c>
      <c r="AE29" s="61">
        <f t="shared" si="3"/>
        <v>-1.9607843137254943E-2</v>
      </c>
      <c r="AF29" s="61">
        <f t="shared" si="3"/>
        <v>-0.57592592592592595</v>
      </c>
    </row>
    <row r="30" spans="1:32" ht="13.8" x14ac:dyDescent="0.3">
      <c r="A30" s="58" t="s">
        <v>17</v>
      </c>
      <c r="B30" s="59">
        <v>39063</v>
      </c>
      <c r="C30" s="59">
        <v>37855</v>
      </c>
      <c r="D30" s="59">
        <v>36371</v>
      </c>
      <c r="E30" s="59">
        <v>36024</v>
      </c>
      <c r="F30" s="59">
        <v>35641</v>
      </c>
      <c r="G30" s="59">
        <v>35270</v>
      </c>
      <c r="H30" s="59">
        <v>34922</v>
      </c>
      <c r="I30" s="59">
        <v>34576</v>
      </c>
      <c r="J30" s="59">
        <v>34239</v>
      </c>
      <c r="K30" s="59">
        <v>33874</v>
      </c>
      <c r="M30" s="60">
        <f t="shared" si="2"/>
        <v>1.3122260107160253E-2</v>
      </c>
      <c r="N30" s="60">
        <f t="shared" si="2"/>
        <v>1.2200282519288242E-2</v>
      </c>
      <c r="O30" s="60">
        <f t="shared" si="2"/>
        <v>1.0256333612411486E-2</v>
      </c>
      <c r="P30" s="60">
        <f t="shared" si="2"/>
        <v>9.2681543807363164E-3</v>
      </c>
      <c r="Q30" s="60">
        <f t="shared" si="2"/>
        <v>8.2079491434632803E-3</v>
      </c>
      <c r="R30" s="60">
        <f t="shared" si="2"/>
        <v>5.931810583009357E-3</v>
      </c>
      <c r="S30" s="60">
        <f t="shared" si="2"/>
        <v>5.4850177436130375E-3</v>
      </c>
      <c r="T30" s="60">
        <f t="shared" si="2"/>
        <v>5.9828743336836727E-3</v>
      </c>
      <c r="U30" s="60">
        <f t="shared" si="2"/>
        <v>5.8899392117813237E-3</v>
      </c>
      <c r="V30" s="60">
        <f t="shared" si="2"/>
        <v>5.8691919058032295E-3</v>
      </c>
      <c r="X30" s="61">
        <f t="shared" si="3"/>
        <v>-3.0924404167626651E-2</v>
      </c>
      <c r="Y30" s="61">
        <f t="shared" si="3"/>
        <v>-3.9202218993527937E-2</v>
      </c>
      <c r="Z30" s="61">
        <f t="shared" si="3"/>
        <v>-9.5405680349729405E-3</v>
      </c>
      <c r="AA30" s="61">
        <f t="shared" si="3"/>
        <v>-1.0631801021541154E-2</v>
      </c>
      <c r="AB30" s="61">
        <f t="shared" si="3"/>
        <v>-1.040936000673387E-2</v>
      </c>
      <c r="AC30" s="61">
        <f t="shared" si="3"/>
        <v>-9.8667422738871746E-3</v>
      </c>
      <c r="AD30" s="61">
        <f t="shared" si="3"/>
        <v>-9.9077945134872225E-3</v>
      </c>
      <c r="AE30" s="61">
        <f t="shared" si="3"/>
        <v>-9.7466450717260678E-3</v>
      </c>
      <c r="AF30" s="61">
        <f t="shared" si="3"/>
        <v>-1.0660358071205356E-2</v>
      </c>
    </row>
    <row r="31" spans="1:32" ht="13.8" x14ac:dyDescent="0.3">
      <c r="A31" s="62" t="s">
        <v>31</v>
      </c>
      <c r="B31" s="63">
        <v>1715755</v>
      </c>
      <c r="C31" s="63">
        <v>1692587</v>
      </c>
      <c r="D31" s="63">
        <v>1894017</v>
      </c>
      <c r="E31" s="63">
        <v>2281531</v>
      </c>
      <c r="F31" s="63">
        <v>2541009</v>
      </c>
      <c r="G31" s="63">
        <v>2722996</v>
      </c>
      <c r="H31" s="63">
        <v>2999587</v>
      </c>
      <c r="I31" s="63">
        <v>3266178</v>
      </c>
      <c r="J31" s="63">
        <v>3424198</v>
      </c>
      <c r="K31" s="63">
        <v>3442408</v>
      </c>
      <c r="M31" s="64">
        <f t="shared" si="2"/>
        <v>0.57636595730386142</v>
      </c>
      <c r="N31" s="64">
        <f t="shared" si="2"/>
        <v>0.54550362140997299</v>
      </c>
      <c r="O31" s="64">
        <f t="shared" si="2"/>
        <v>0.53409777623872767</v>
      </c>
      <c r="P31" s="64">
        <f t="shared" si="2"/>
        <v>0.58698594082932798</v>
      </c>
      <c r="Q31" s="64">
        <f t="shared" si="2"/>
        <v>0.58518202758290971</v>
      </c>
      <c r="R31" s="64">
        <f t="shared" si="2"/>
        <v>0.45796134080782952</v>
      </c>
      <c r="S31" s="64">
        <f t="shared" si="2"/>
        <v>0.47112960078205718</v>
      </c>
      <c r="T31" s="64">
        <f t="shared" si="2"/>
        <v>0.56516463805652095</v>
      </c>
      <c r="U31" s="64">
        <f t="shared" si="2"/>
        <v>0.58904518441260501</v>
      </c>
      <c r="V31" s="64">
        <f t="shared" si="2"/>
        <v>0.59645017329138228</v>
      </c>
      <c r="X31" s="65">
        <f t="shared" si="3"/>
        <v>-1.3503093390373366E-2</v>
      </c>
      <c r="Y31" s="65">
        <f t="shared" si="3"/>
        <v>0.1190071765882641</v>
      </c>
      <c r="Z31" s="65">
        <f t="shared" si="3"/>
        <v>0.20459900835103384</v>
      </c>
      <c r="AA31" s="65">
        <f t="shared" si="3"/>
        <v>0.11372977180673849</v>
      </c>
      <c r="AB31" s="65">
        <f t="shared" si="3"/>
        <v>7.1619974584899104E-2</v>
      </c>
      <c r="AC31" s="65">
        <f t="shared" si="3"/>
        <v>0.10157598468745466</v>
      </c>
      <c r="AD31" s="65">
        <f t="shared" si="3"/>
        <v>8.8875901915830502E-2</v>
      </c>
      <c r="AE31" s="65">
        <f t="shared" si="3"/>
        <v>4.8380706746539826E-2</v>
      </c>
      <c r="AF31" s="65">
        <f t="shared" si="3"/>
        <v>5.318033595019811E-3</v>
      </c>
    </row>
    <row r="32" spans="1:32" ht="13.8" x14ac:dyDescent="0.3">
      <c r="A32" s="68" t="s">
        <v>32</v>
      </c>
      <c r="B32" s="63">
        <v>2976850</v>
      </c>
      <c r="C32" s="63">
        <v>3102797</v>
      </c>
      <c r="D32" s="63">
        <v>3546199</v>
      </c>
      <c r="E32" s="63">
        <v>3886858</v>
      </c>
      <c r="F32" s="63">
        <v>4342254</v>
      </c>
      <c r="G32" s="63">
        <v>5945908</v>
      </c>
      <c r="H32" s="63">
        <v>6366798</v>
      </c>
      <c r="I32" s="63">
        <v>5779162</v>
      </c>
      <c r="J32" s="63">
        <v>5813133</v>
      </c>
      <c r="K32" s="63">
        <v>5771493</v>
      </c>
      <c r="M32" s="64">
        <f t="shared" si="2"/>
        <v>1</v>
      </c>
      <c r="N32" s="64">
        <f t="shared" si="2"/>
        <v>1</v>
      </c>
      <c r="O32" s="64">
        <f t="shared" si="2"/>
        <v>1</v>
      </c>
      <c r="P32" s="64">
        <f t="shared" si="2"/>
        <v>1</v>
      </c>
      <c r="Q32" s="64">
        <f t="shared" si="2"/>
        <v>1</v>
      </c>
      <c r="R32" s="64">
        <f t="shared" si="2"/>
        <v>1</v>
      </c>
      <c r="S32" s="64">
        <f t="shared" si="2"/>
        <v>1</v>
      </c>
      <c r="T32" s="64">
        <f t="shared" si="2"/>
        <v>1</v>
      </c>
      <c r="U32" s="64">
        <f t="shared" si="2"/>
        <v>1</v>
      </c>
      <c r="V32" s="64">
        <f t="shared" si="2"/>
        <v>1</v>
      </c>
      <c r="X32" s="65">
        <f t="shared" si="3"/>
        <v>4.2308816366293245E-2</v>
      </c>
      <c r="Y32" s="65">
        <f t="shared" si="3"/>
        <v>0.14290396696915719</v>
      </c>
      <c r="Z32" s="65">
        <f t="shared" si="3"/>
        <v>9.6063136896716639E-2</v>
      </c>
      <c r="AA32" s="65">
        <f t="shared" si="3"/>
        <v>0.11716301444508659</v>
      </c>
      <c r="AB32" s="65">
        <f t="shared" si="3"/>
        <v>0.36931372508379279</v>
      </c>
      <c r="AC32" s="65">
        <f t="shared" si="3"/>
        <v>7.0786497201100307E-2</v>
      </c>
      <c r="AD32" s="65">
        <f t="shared" si="3"/>
        <v>-9.2296944241045509E-2</v>
      </c>
      <c r="AE32" s="65">
        <f t="shared" si="3"/>
        <v>5.8781878756817285E-3</v>
      </c>
      <c r="AF32" s="65">
        <f t="shared" si="3"/>
        <v>-7.1630908840378815E-3</v>
      </c>
    </row>
    <row r="33" spans="1:32" ht="13.8" x14ac:dyDescent="0.3">
      <c r="A33" s="69" t="s">
        <v>33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32" ht="13.8" x14ac:dyDescent="0.3">
      <c r="A34" s="69" t="s">
        <v>34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32" ht="13.8" x14ac:dyDescent="0.3">
      <c r="A35" s="58" t="s">
        <v>35</v>
      </c>
      <c r="B35" s="59">
        <v>237930</v>
      </c>
      <c r="C35" s="59">
        <v>291232</v>
      </c>
      <c r="D35" s="59">
        <v>545141</v>
      </c>
      <c r="E35" s="59">
        <v>398946</v>
      </c>
      <c r="F35" s="59">
        <v>285065</v>
      </c>
      <c r="G35" s="59">
        <v>1335311</v>
      </c>
      <c r="H35" s="59">
        <v>1713044</v>
      </c>
      <c r="I35" s="59">
        <v>1080230</v>
      </c>
      <c r="J35" s="59">
        <v>1184336</v>
      </c>
      <c r="K35" s="59">
        <v>901900</v>
      </c>
      <c r="M35" s="60">
        <f t="shared" ref="M35:V42" si="4">IFERROR(B35/B$32,"")</f>
        <v>7.9926768228160638E-2</v>
      </c>
      <c r="N35" s="60">
        <f t="shared" si="4"/>
        <v>9.3861119499599882E-2</v>
      </c>
      <c r="O35" s="60">
        <f t="shared" si="4"/>
        <v>0.15372543954809079</v>
      </c>
      <c r="P35" s="60">
        <f t="shared" si="4"/>
        <v>0.10263971567780454</v>
      </c>
      <c r="Q35" s="60">
        <f t="shared" si="4"/>
        <v>6.5649084553782433E-2</v>
      </c>
      <c r="R35" s="60">
        <f t="shared" si="4"/>
        <v>0.22457646502434953</v>
      </c>
      <c r="S35" s="60">
        <f t="shared" si="4"/>
        <v>0.26905895239647937</v>
      </c>
      <c r="T35" s="60">
        <f t="shared" si="4"/>
        <v>0.18691810335131634</v>
      </c>
      <c r="U35" s="60">
        <f t="shared" si="4"/>
        <v>0.20373454383376399</v>
      </c>
      <c r="V35" s="60">
        <f t="shared" si="4"/>
        <v>0.1562680575026254</v>
      </c>
      <c r="X35" s="61">
        <f t="shared" ref="X35:AF42" si="5">IFERROR(IF(B35=0,"",C35/B35-1),"")</f>
        <v>0.22402387256756184</v>
      </c>
      <c r="Y35" s="61">
        <f t="shared" si="5"/>
        <v>0.87184444017140983</v>
      </c>
      <c r="Z35" s="61">
        <f t="shared" si="5"/>
        <v>-0.26817832450687074</v>
      </c>
      <c r="AA35" s="61">
        <f t="shared" si="5"/>
        <v>-0.28545467306352235</v>
      </c>
      <c r="AB35" s="61">
        <f t="shared" si="5"/>
        <v>3.6842334204479679</v>
      </c>
      <c r="AC35" s="61">
        <f t="shared" si="5"/>
        <v>0.28288016799082771</v>
      </c>
      <c r="AD35" s="61">
        <f t="shared" si="5"/>
        <v>-0.36940907530688061</v>
      </c>
      <c r="AE35" s="61">
        <f t="shared" si="5"/>
        <v>9.6373920368810317E-2</v>
      </c>
      <c r="AF35" s="61">
        <f t="shared" si="5"/>
        <v>-0.2384762432282731</v>
      </c>
    </row>
    <row r="36" spans="1:32" ht="13.8" x14ac:dyDescent="0.3">
      <c r="A36" s="58" t="s">
        <v>36</v>
      </c>
      <c r="B36" s="59">
        <v>298268</v>
      </c>
      <c r="C36" s="59">
        <v>413595</v>
      </c>
      <c r="D36" s="59">
        <v>517261</v>
      </c>
      <c r="E36" s="59">
        <v>589661</v>
      </c>
      <c r="F36" s="59">
        <v>843476</v>
      </c>
      <c r="G36" s="59">
        <v>772138</v>
      </c>
      <c r="H36" s="59">
        <v>726637</v>
      </c>
      <c r="I36" s="59">
        <v>691068</v>
      </c>
      <c r="J36" s="59">
        <v>626331</v>
      </c>
      <c r="K36" s="59">
        <v>734943</v>
      </c>
      <c r="M36" s="60">
        <f t="shared" si="4"/>
        <v>0.10019584460083646</v>
      </c>
      <c r="N36" s="60">
        <f t="shared" si="4"/>
        <v>0.13329747321529575</v>
      </c>
      <c r="O36" s="60">
        <f t="shared" si="4"/>
        <v>0.14586350061008985</v>
      </c>
      <c r="P36" s="60">
        <f t="shared" si="4"/>
        <v>0.1517063396707572</v>
      </c>
      <c r="Q36" s="60">
        <f t="shared" si="4"/>
        <v>0.1942484248963787</v>
      </c>
      <c r="R36" s="60">
        <f t="shared" si="4"/>
        <v>0.12986040147274394</v>
      </c>
      <c r="S36" s="60">
        <f t="shared" si="4"/>
        <v>0.1141291116821988</v>
      </c>
      <c r="T36" s="60">
        <f t="shared" si="4"/>
        <v>0.11957927464224052</v>
      </c>
      <c r="U36" s="60">
        <f t="shared" si="4"/>
        <v>0.10774413728363001</v>
      </c>
      <c r="V36" s="60">
        <f t="shared" si="4"/>
        <v>0.12734018736573016</v>
      </c>
      <c r="X36" s="61">
        <f t="shared" si="5"/>
        <v>0.3866556251424893</v>
      </c>
      <c r="Y36" s="61">
        <f t="shared" si="5"/>
        <v>0.25064616351745062</v>
      </c>
      <c r="Z36" s="61">
        <f t="shared" si="5"/>
        <v>0.13996802387962748</v>
      </c>
      <c r="AA36" s="61">
        <f t="shared" si="5"/>
        <v>0.43044223714982</v>
      </c>
      <c r="AB36" s="61">
        <f t="shared" si="5"/>
        <v>-8.4576206080552385E-2</v>
      </c>
      <c r="AC36" s="61">
        <f t="shared" si="5"/>
        <v>-5.8928585304699466E-2</v>
      </c>
      <c r="AD36" s="61">
        <f t="shared" si="5"/>
        <v>-4.8950163561723437E-2</v>
      </c>
      <c r="AE36" s="61">
        <f t="shared" si="5"/>
        <v>-9.3676743822605046E-2</v>
      </c>
      <c r="AF36" s="61">
        <f t="shared" si="5"/>
        <v>0.17340990626362096</v>
      </c>
    </row>
    <row r="37" spans="1:32" ht="13.8" x14ac:dyDescent="0.3">
      <c r="A37" s="58" t="s">
        <v>37</v>
      </c>
      <c r="B37" s="59">
        <v>242323</v>
      </c>
      <c r="C37" s="59">
        <v>349479</v>
      </c>
      <c r="D37" s="59">
        <v>434753</v>
      </c>
      <c r="E37" s="59">
        <v>499694</v>
      </c>
      <c r="F37" s="59">
        <v>732923</v>
      </c>
      <c r="G37" s="59">
        <v>541080</v>
      </c>
      <c r="H37" s="59">
        <v>520040</v>
      </c>
      <c r="I37" s="59">
        <v>575097</v>
      </c>
      <c r="J37" s="59">
        <v>467040</v>
      </c>
      <c r="K37" s="59">
        <v>512650</v>
      </c>
      <c r="M37" s="60">
        <f t="shared" si="4"/>
        <v>8.1402489208391424E-2</v>
      </c>
      <c r="N37" s="60">
        <f t="shared" si="4"/>
        <v>0.11263353677343378</v>
      </c>
      <c r="O37" s="60">
        <f t="shared" si="4"/>
        <v>0.12259689882039897</v>
      </c>
      <c r="P37" s="60">
        <f t="shared" si="4"/>
        <v>0.12855988049987935</v>
      </c>
      <c r="Q37" s="60">
        <f t="shared" si="4"/>
        <v>0.16878860610180796</v>
      </c>
      <c r="R37" s="60">
        <f t="shared" si="4"/>
        <v>9.1000398929818621E-2</v>
      </c>
      <c r="S37" s="60">
        <f t="shared" si="4"/>
        <v>8.1679990475589145E-2</v>
      </c>
      <c r="T37" s="60">
        <f t="shared" si="4"/>
        <v>9.951217840925726E-2</v>
      </c>
      <c r="U37" s="60">
        <f t="shared" si="4"/>
        <v>8.0342218215203404E-2</v>
      </c>
      <c r="V37" s="60">
        <f t="shared" si="4"/>
        <v>8.8824503469033061E-2</v>
      </c>
      <c r="X37" s="61">
        <f t="shared" si="5"/>
        <v>0.4422031751010016</v>
      </c>
      <c r="Y37" s="61">
        <f t="shared" si="5"/>
        <v>0.24400321621613896</v>
      </c>
      <c r="Z37" s="61">
        <f t="shared" si="5"/>
        <v>0.14937447240157065</v>
      </c>
      <c r="AA37" s="61">
        <f t="shared" si="5"/>
        <v>0.46674364711203253</v>
      </c>
      <c r="AB37" s="61">
        <f t="shared" si="5"/>
        <v>-0.261750552240822</v>
      </c>
      <c r="AC37" s="61">
        <f t="shared" si="5"/>
        <v>-3.8885192577807315E-2</v>
      </c>
      <c r="AD37" s="61">
        <f t="shared" si="5"/>
        <v>0.1058707022536729</v>
      </c>
      <c r="AE37" s="61">
        <f t="shared" si="5"/>
        <v>-0.18789352057131237</v>
      </c>
      <c r="AF37" s="61">
        <f t="shared" si="5"/>
        <v>9.7657588215142255E-2</v>
      </c>
    </row>
    <row r="38" spans="1:32" ht="13.8" x14ac:dyDescent="0.3">
      <c r="A38" s="58" t="s">
        <v>38</v>
      </c>
      <c r="B38" s="59">
        <v>15821</v>
      </c>
      <c r="C38" s="59">
        <v>16172</v>
      </c>
      <c r="D38" s="59">
        <v>21320</v>
      </c>
      <c r="E38" s="59">
        <v>23429</v>
      </c>
      <c r="F38" s="59">
        <v>34544</v>
      </c>
      <c r="G38" s="59">
        <v>98006</v>
      </c>
      <c r="H38" s="59">
        <v>41952</v>
      </c>
      <c r="I38" s="59">
        <v>24672</v>
      </c>
      <c r="J38" s="59">
        <v>35981</v>
      </c>
      <c r="K38" s="59">
        <v>50041</v>
      </c>
      <c r="M38" s="60">
        <f t="shared" si="4"/>
        <v>5.3146782672959672E-3</v>
      </c>
      <c r="N38" s="60">
        <f t="shared" si="4"/>
        <v>5.2120715599505863E-3</v>
      </c>
      <c r="O38" s="60">
        <f t="shared" si="4"/>
        <v>6.0120709525889552E-3</v>
      </c>
      <c r="P38" s="60">
        <f t="shared" si="4"/>
        <v>6.0277478621549845E-3</v>
      </c>
      <c r="Q38" s="60">
        <f t="shared" si="4"/>
        <v>7.9553153730758264E-3</v>
      </c>
      <c r="R38" s="60">
        <f t="shared" si="4"/>
        <v>1.6482932463805361E-2</v>
      </c>
      <c r="S38" s="60">
        <f t="shared" si="4"/>
        <v>6.5891834482576638E-3</v>
      </c>
      <c r="T38" s="60">
        <f t="shared" si="4"/>
        <v>4.2691310608700709E-3</v>
      </c>
      <c r="U38" s="60">
        <f t="shared" si="4"/>
        <v>6.189605501886848E-3</v>
      </c>
      <c r="V38" s="60">
        <f t="shared" si="4"/>
        <v>8.6703735064739742E-3</v>
      </c>
      <c r="X38" s="61">
        <f t="shared" si="5"/>
        <v>2.2185702547247388E-2</v>
      </c>
      <c r="Y38" s="61">
        <f t="shared" si="5"/>
        <v>0.31832797427652726</v>
      </c>
      <c r="Z38" s="61">
        <f t="shared" si="5"/>
        <v>9.8921200750468952E-2</v>
      </c>
      <c r="AA38" s="61">
        <f t="shared" si="5"/>
        <v>0.47441205343804693</v>
      </c>
      <c r="AB38" s="61">
        <f t="shared" si="5"/>
        <v>1.8371352477999072</v>
      </c>
      <c r="AC38" s="61">
        <f t="shared" si="5"/>
        <v>-0.5719445748219496</v>
      </c>
      <c r="AD38" s="61">
        <f t="shared" si="5"/>
        <v>-0.41189931350114417</v>
      </c>
      <c r="AE38" s="61">
        <f t="shared" si="5"/>
        <v>0.45837386511024647</v>
      </c>
      <c r="AF38" s="61">
        <f t="shared" si="5"/>
        <v>0.39076179094522101</v>
      </c>
    </row>
    <row r="39" spans="1:32" ht="13.8" x14ac:dyDescent="0.3">
      <c r="A39" s="58" t="s">
        <v>39</v>
      </c>
      <c r="B39" s="59">
        <v>40124</v>
      </c>
      <c r="C39" s="59">
        <v>47944</v>
      </c>
      <c r="D39" s="59">
        <v>61188</v>
      </c>
      <c r="E39" s="59">
        <v>66538</v>
      </c>
      <c r="F39" s="59">
        <v>76009</v>
      </c>
      <c r="G39" s="59">
        <v>133052</v>
      </c>
      <c r="H39" s="59">
        <v>164645</v>
      </c>
      <c r="I39" s="59">
        <v>91299</v>
      </c>
      <c r="J39" s="59">
        <v>123310</v>
      </c>
      <c r="K39" s="59">
        <v>172252</v>
      </c>
      <c r="M39" s="60">
        <f t="shared" si="4"/>
        <v>1.3478677125149066E-2</v>
      </c>
      <c r="N39" s="60">
        <f t="shared" si="4"/>
        <v>1.5451864881911385E-2</v>
      </c>
      <c r="O39" s="60">
        <f t="shared" si="4"/>
        <v>1.7254530837101923E-2</v>
      </c>
      <c r="P39" s="60">
        <f t="shared" si="4"/>
        <v>1.7118711308722882E-2</v>
      </c>
      <c r="Q39" s="60">
        <f t="shared" si="4"/>
        <v>1.750450342149492E-2</v>
      </c>
      <c r="R39" s="60">
        <f t="shared" si="4"/>
        <v>2.2377070079119959E-2</v>
      </c>
      <c r="S39" s="60">
        <f t="shared" si="4"/>
        <v>2.5859937758351999E-2</v>
      </c>
      <c r="T39" s="60">
        <f t="shared" si="4"/>
        <v>1.5797965172113189E-2</v>
      </c>
      <c r="U39" s="60">
        <f t="shared" si="4"/>
        <v>2.1212313566539763E-2</v>
      </c>
      <c r="V39" s="60">
        <f t="shared" si="4"/>
        <v>2.9845310390223118E-2</v>
      </c>
      <c r="X39" s="61">
        <f t="shared" si="5"/>
        <v>0.19489582294885843</v>
      </c>
      <c r="Y39" s="61">
        <f t="shared" si="5"/>
        <v>0.27623894543634231</v>
      </c>
      <c r="Z39" s="61">
        <f t="shared" si="5"/>
        <v>8.743544485846888E-2</v>
      </c>
      <c r="AA39" s="61">
        <f t="shared" si="5"/>
        <v>0.14233971565120673</v>
      </c>
      <c r="AB39" s="61">
        <f t="shared" si="5"/>
        <v>0.7504769172071728</v>
      </c>
      <c r="AC39" s="61">
        <f t="shared" si="5"/>
        <v>0.23744851636953967</v>
      </c>
      <c r="AD39" s="61">
        <f t="shared" si="5"/>
        <v>-0.44547966837741804</v>
      </c>
      <c r="AE39" s="61">
        <f t="shared" si="5"/>
        <v>0.35061720281711728</v>
      </c>
      <c r="AF39" s="61">
        <f t="shared" si="5"/>
        <v>0.39690211661665731</v>
      </c>
    </row>
    <row r="40" spans="1:32" ht="13.8" x14ac:dyDescent="0.3">
      <c r="A40" s="58" t="s">
        <v>43</v>
      </c>
      <c r="B40" s="59">
        <v>5144</v>
      </c>
      <c r="C40" s="59">
        <v>11565</v>
      </c>
      <c r="D40" s="59">
        <v>17381</v>
      </c>
      <c r="E40" s="59">
        <v>21570</v>
      </c>
      <c r="F40" s="59">
        <v>40471</v>
      </c>
      <c r="G40" s="59">
        <v>27783</v>
      </c>
      <c r="H40" s="59">
        <v>0</v>
      </c>
      <c r="I40" s="59">
        <v>0</v>
      </c>
      <c r="J40" s="59">
        <v>0</v>
      </c>
      <c r="K40" s="59">
        <v>5681</v>
      </c>
      <c r="M40" s="60">
        <f t="shared" si="4"/>
        <v>1.7280010749617886E-3</v>
      </c>
      <c r="N40" s="60">
        <f t="shared" si="4"/>
        <v>3.7272821908748786E-3</v>
      </c>
      <c r="O40" s="60">
        <f t="shared" si="4"/>
        <v>4.9013041851289222E-3</v>
      </c>
      <c r="P40" s="60">
        <f t="shared" si="4"/>
        <v>5.5494695201111022E-3</v>
      </c>
      <c r="Q40" s="60">
        <f t="shared" si="4"/>
        <v>9.3202746776213461E-3</v>
      </c>
      <c r="R40" s="60">
        <f t="shared" si="4"/>
        <v>4.6726252743903877E-3</v>
      </c>
      <c r="S40" s="60">
        <f t="shared" si="4"/>
        <v>0</v>
      </c>
      <c r="T40" s="60">
        <f t="shared" si="4"/>
        <v>0</v>
      </c>
      <c r="U40" s="60">
        <f t="shared" si="4"/>
        <v>0</v>
      </c>
      <c r="V40" s="60">
        <f t="shared" si="4"/>
        <v>9.8432069483580771E-4</v>
      </c>
      <c r="X40" s="61">
        <f t="shared" si="5"/>
        <v>1.2482503888024885</v>
      </c>
      <c r="Y40" s="61">
        <f t="shared" si="5"/>
        <v>0.50289667099005619</v>
      </c>
      <c r="Z40" s="61">
        <f t="shared" si="5"/>
        <v>0.24101029860192158</v>
      </c>
      <c r="AA40" s="61">
        <f t="shared" si="5"/>
        <v>0.87626332869726475</v>
      </c>
      <c r="AB40" s="61">
        <f t="shared" si="5"/>
        <v>-0.31350843814089102</v>
      </c>
      <c r="AC40" s="61">
        <f t="shared" si="5"/>
        <v>-1</v>
      </c>
      <c r="AD40" s="61" t="str">
        <f t="shared" si="5"/>
        <v/>
      </c>
      <c r="AE40" s="61" t="str">
        <f t="shared" si="5"/>
        <v/>
      </c>
      <c r="AF40" s="61" t="str">
        <f t="shared" si="5"/>
        <v/>
      </c>
    </row>
    <row r="41" spans="1:32" ht="13.8" x14ac:dyDescent="0.3">
      <c r="A41" s="58" t="s">
        <v>45</v>
      </c>
      <c r="B41" s="59">
        <v>541342</v>
      </c>
      <c r="C41" s="59">
        <v>716392</v>
      </c>
      <c r="D41" s="59">
        <v>1079783</v>
      </c>
      <c r="E41" s="59">
        <v>1010177</v>
      </c>
      <c r="F41" s="59">
        <v>1169012</v>
      </c>
      <c r="G41" s="59">
        <v>2135232</v>
      </c>
      <c r="H41" s="59">
        <v>2439681</v>
      </c>
      <c r="I41" s="59">
        <v>1771298</v>
      </c>
      <c r="J41" s="59">
        <v>1810667</v>
      </c>
      <c r="K41" s="59">
        <v>1642524</v>
      </c>
      <c r="M41" s="60">
        <f t="shared" si="4"/>
        <v>0.18185061390395887</v>
      </c>
      <c r="N41" s="60">
        <f t="shared" si="4"/>
        <v>0.23088587490577051</v>
      </c>
      <c r="O41" s="60">
        <f t="shared" si="4"/>
        <v>0.30449024434330957</v>
      </c>
      <c r="P41" s="60">
        <f t="shared" si="4"/>
        <v>0.25989552486867284</v>
      </c>
      <c r="Q41" s="60">
        <f t="shared" si="4"/>
        <v>0.26921778412778247</v>
      </c>
      <c r="R41" s="60">
        <f t="shared" si="4"/>
        <v>0.35910949177148382</v>
      </c>
      <c r="S41" s="60">
        <f t="shared" si="4"/>
        <v>0.38318806407867817</v>
      </c>
      <c r="T41" s="60">
        <f t="shared" si="4"/>
        <v>0.30649737799355686</v>
      </c>
      <c r="U41" s="60">
        <f t="shared" si="4"/>
        <v>0.31147868111739402</v>
      </c>
      <c r="V41" s="60">
        <f t="shared" si="4"/>
        <v>0.28459256556319135</v>
      </c>
      <c r="X41" s="61">
        <f t="shared" si="5"/>
        <v>0.32336304960634865</v>
      </c>
      <c r="Y41" s="61">
        <f t="shared" si="5"/>
        <v>0.50725161643346106</v>
      </c>
      <c r="Z41" s="61">
        <f t="shared" si="5"/>
        <v>-6.4462952278374397E-2</v>
      </c>
      <c r="AA41" s="61">
        <f t="shared" si="5"/>
        <v>0.15723482122439925</v>
      </c>
      <c r="AB41" s="61">
        <f t="shared" si="5"/>
        <v>0.82652701597588396</v>
      </c>
      <c r="AC41" s="61">
        <f t="shared" si="5"/>
        <v>0.14258356937325778</v>
      </c>
      <c r="AD41" s="61">
        <f t="shared" si="5"/>
        <v>-0.27396327634637474</v>
      </c>
      <c r="AE41" s="61">
        <f t="shared" si="5"/>
        <v>2.2226073760598153E-2</v>
      </c>
      <c r="AF41" s="61">
        <f t="shared" si="5"/>
        <v>-9.2862464495128028E-2</v>
      </c>
    </row>
    <row r="42" spans="1:32" ht="13.8" x14ac:dyDescent="0.3">
      <c r="A42" s="62" t="s">
        <v>47</v>
      </c>
      <c r="B42" s="63">
        <v>541342</v>
      </c>
      <c r="C42" s="63">
        <v>716392</v>
      </c>
      <c r="D42" s="63">
        <v>1079783</v>
      </c>
      <c r="E42" s="63">
        <v>1010177</v>
      </c>
      <c r="F42" s="63">
        <v>1169012</v>
      </c>
      <c r="G42" s="63">
        <v>2135232</v>
      </c>
      <c r="H42" s="63">
        <v>2439681</v>
      </c>
      <c r="I42" s="63">
        <v>1771298</v>
      </c>
      <c r="J42" s="63">
        <v>1810667</v>
      </c>
      <c r="K42" s="63">
        <v>1642524</v>
      </c>
      <c r="M42" s="64">
        <f t="shared" si="4"/>
        <v>0.18185061390395887</v>
      </c>
      <c r="N42" s="64">
        <f t="shared" si="4"/>
        <v>0.23088587490577051</v>
      </c>
      <c r="O42" s="64">
        <f t="shared" si="4"/>
        <v>0.30449024434330957</v>
      </c>
      <c r="P42" s="64">
        <f t="shared" si="4"/>
        <v>0.25989552486867284</v>
      </c>
      <c r="Q42" s="64">
        <f t="shared" si="4"/>
        <v>0.26921778412778247</v>
      </c>
      <c r="R42" s="64">
        <f t="shared" si="4"/>
        <v>0.35910949177148382</v>
      </c>
      <c r="S42" s="64">
        <f t="shared" si="4"/>
        <v>0.38318806407867817</v>
      </c>
      <c r="T42" s="64">
        <f t="shared" si="4"/>
        <v>0.30649737799355686</v>
      </c>
      <c r="U42" s="64">
        <f t="shared" si="4"/>
        <v>0.31147868111739402</v>
      </c>
      <c r="V42" s="64">
        <f t="shared" si="4"/>
        <v>0.28459256556319135</v>
      </c>
      <c r="X42" s="65">
        <f t="shared" si="5"/>
        <v>0.32336304960634865</v>
      </c>
      <c r="Y42" s="65">
        <f t="shared" si="5"/>
        <v>0.50725161643346106</v>
      </c>
      <c r="Z42" s="65">
        <f t="shared" si="5"/>
        <v>-6.4462952278374397E-2</v>
      </c>
      <c r="AA42" s="65">
        <f t="shared" si="5"/>
        <v>0.15723482122439925</v>
      </c>
      <c r="AB42" s="65">
        <f t="shared" si="5"/>
        <v>0.82652701597588396</v>
      </c>
      <c r="AC42" s="65">
        <f t="shared" si="5"/>
        <v>0.14258356937325778</v>
      </c>
      <c r="AD42" s="65">
        <f t="shared" si="5"/>
        <v>-0.27396327634637474</v>
      </c>
      <c r="AE42" s="65">
        <f t="shared" si="5"/>
        <v>2.2226073760598153E-2</v>
      </c>
      <c r="AF42" s="65">
        <f t="shared" si="5"/>
        <v>-9.2862464495128028E-2</v>
      </c>
    </row>
    <row r="43" spans="1:32" ht="13.8" x14ac:dyDescent="0.3">
      <c r="A43" s="66" t="s">
        <v>48</v>
      </c>
      <c r="B43" s="70"/>
      <c r="C43" s="70"/>
      <c r="D43" s="70"/>
      <c r="E43" s="70"/>
      <c r="F43" s="70"/>
      <c r="G43" s="70"/>
      <c r="H43" s="70"/>
      <c r="I43" s="70"/>
      <c r="J43" s="70"/>
      <c r="K43" s="67"/>
    </row>
    <row r="44" spans="1:32" ht="13.8" x14ac:dyDescent="0.3">
      <c r="A44" s="58" t="s">
        <v>35</v>
      </c>
      <c r="B44" s="59">
        <v>416018</v>
      </c>
      <c r="C44" s="59">
        <v>356343</v>
      </c>
      <c r="D44" s="59">
        <v>341842</v>
      </c>
      <c r="E44" s="59">
        <v>662851</v>
      </c>
      <c r="F44" s="59">
        <v>875161</v>
      </c>
      <c r="G44" s="59">
        <v>959945</v>
      </c>
      <c r="H44" s="59">
        <v>987518</v>
      </c>
      <c r="I44" s="59">
        <v>1082721</v>
      </c>
      <c r="J44" s="59">
        <v>941945</v>
      </c>
      <c r="K44" s="59">
        <v>871074</v>
      </c>
      <c r="M44" s="60">
        <f t="shared" ref="M44:V50" si="6">IFERROR(B44/B$32,"")</f>
        <v>0.13975107916085797</v>
      </c>
      <c r="N44" s="60">
        <f t="shared" si="6"/>
        <v>0.11484573434871827</v>
      </c>
      <c r="O44" s="60">
        <f t="shared" si="6"/>
        <v>9.6396733516646974E-2</v>
      </c>
      <c r="P44" s="60">
        <f t="shared" si="6"/>
        <v>0.17053645901136599</v>
      </c>
      <c r="Q44" s="60">
        <f t="shared" si="6"/>
        <v>0.20154532645948395</v>
      </c>
      <c r="R44" s="60">
        <f t="shared" si="6"/>
        <v>0.16144632577564269</v>
      </c>
      <c r="S44" s="60">
        <f t="shared" si="6"/>
        <v>0.15510433973246834</v>
      </c>
      <c r="T44" s="60">
        <f t="shared" si="6"/>
        <v>0.1873491347015363</v>
      </c>
      <c r="U44" s="60">
        <f t="shared" si="6"/>
        <v>0.16203740736707728</v>
      </c>
      <c r="V44" s="60">
        <f t="shared" si="6"/>
        <v>0.1509269785131854</v>
      </c>
      <c r="X44" s="61">
        <f t="shared" ref="X44:AF50" si="7">IFERROR(IF(B44=0,"",C44/B44-1),"")</f>
        <v>-0.14344331254897624</v>
      </c>
      <c r="Y44" s="61">
        <f t="shared" si="7"/>
        <v>-4.0693938143867014E-2</v>
      </c>
      <c r="Z44" s="61">
        <f t="shared" si="7"/>
        <v>0.9390566402021987</v>
      </c>
      <c r="AA44" s="61">
        <f t="shared" si="7"/>
        <v>0.32029822690167165</v>
      </c>
      <c r="AB44" s="61">
        <f t="shared" si="7"/>
        <v>9.6878174415907514E-2</v>
      </c>
      <c r="AC44" s="61">
        <f t="shared" si="7"/>
        <v>2.8723520618368692E-2</v>
      </c>
      <c r="AD44" s="61">
        <f t="shared" si="7"/>
        <v>9.640634398562864E-2</v>
      </c>
      <c r="AE44" s="61">
        <f t="shared" si="7"/>
        <v>-0.13002056854905375</v>
      </c>
      <c r="AF44" s="61">
        <f t="shared" si="7"/>
        <v>-7.5239000153936808E-2</v>
      </c>
    </row>
    <row r="45" spans="1:32" ht="13.8" x14ac:dyDescent="0.3">
      <c r="A45" s="58" t="s">
        <v>36</v>
      </c>
      <c r="B45" s="59">
        <v>207</v>
      </c>
      <c r="C45" s="59">
        <v>0</v>
      </c>
      <c r="D45" s="59">
        <v>7761</v>
      </c>
      <c r="E45" s="59">
        <v>6738</v>
      </c>
      <c r="F45" s="59">
        <v>6891</v>
      </c>
      <c r="G45" s="59">
        <v>114288</v>
      </c>
      <c r="H45" s="59">
        <v>59319</v>
      </c>
      <c r="I45" s="59">
        <v>9049</v>
      </c>
      <c r="J45" s="59">
        <v>9202</v>
      </c>
      <c r="K45" s="59">
        <v>0</v>
      </c>
      <c r="M45" s="60">
        <f t="shared" si="6"/>
        <v>6.9536590691502757E-5</v>
      </c>
      <c r="N45" s="60">
        <f t="shared" si="6"/>
        <v>0</v>
      </c>
      <c r="O45" s="60">
        <f t="shared" si="6"/>
        <v>2.188540462619272E-3</v>
      </c>
      <c r="P45" s="60">
        <f t="shared" si="6"/>
        <v>1.7335338723462499E-3</v>
      </c>
      <c r="Q45" s="60">
        <f t="shared" si="6"/>
        <v>1.5869638210938375E-3</v>
      </c>
      <c r="R45" s="60">
        <f t="shared" si="6"/>
        <v>1.9221286303118045E-2</v>
      </c>
      <c r="S45" s="60">
        <f t="shared" si="6"/>
        <v>9.3169282267161601E-3</v>
      </c>
      <c r="T45" s="60">
        <f t="shared" si="6"/>
        <v>1.5657979478685665E-3</v>
      </c>
      <c r="U45" s="60">
        <f t="shared" si="6"/>
        <v>1.5829673946906083E-3</v>
      </c>
      <c r="V45" s="60">
        <f t="shared" si="6"/>
        <v>0</v>
      </c>
      <c r="X45" s="61">
        <f t="shared" si="7"/>
        <v>-1</v>
      </c>
      <c r="Y45" s="61" t="str">
        <f t="shared" si="7"/>
        <v/>
      </c>
      <c r="Z45" s="61">
        <f t="shared" si="7"/>
        <v>-0.1318129107073831</v>
      </c>
      <c r="AA45" s="61">
        <f t="shared" si="7"/>
        <v>2.2707034728405961E-2</v>
      </c>
      <c r="AB45" s="61">
        <f t="shared" si="7"/>
        <v>15.585111014366564</v>
      </c>
      <c r="AC45" s="61">
        <f t="shared" si="7"/>
        <v>-0.48096913061738766</v>
      </c>
      <c r="AD45" s="61">
        <f t="shared" si="7"/>
        <v>-0.84745191254066987</v>
      </c>
      <c r="AE45" s="61">
        <f t="shared" si="7"/>
        <v>1.6907945629351273E-2</v>
      </c>
      <c r="AF45" s="61">
        <f t="shared" si="7"/>
        <v>-1</v>
      </c>
    </row>
    <row r="46" spans="1:32" ht="13.8" x14ac:dyDescent="0.3">
      <c r="A46" s="58" t="s">
        <v>37</v>
      </c>
      <c r="B46" s="59">
        <v>207</v>
      </c>
      <c r="C46" s="59">
        <v>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M46" s="60">
        <f t="shared" si="6"/>
        <v>6.9536590691502757E-5</v>
      </c>
      <c r="N46" s="60">
        <f t="shared" si="6"/>
        <v>0</v>
      </c>
      <c r="O46" s="60">
        <f t="shared" si="6"/>
        <v>0</v>
      </c>
      <c r="P46" s="60">
        <f t="shared" si="6"/>
        <v>0</v>
      </c>
      <c r="Q46" s="60">
        <f t="shared" si="6"/>
        <v>0</v>
      </c>
      <c r="R46" s="60">
        <f t="shared" si="6"/>
        <v>0</v>
      </c>
      <c r="S46" s="60">
        <f t="shared" si="6"/>
        <v>0</v>
      </c>
      <c r="T46" s="60">
        <f t="shared" si="6"/>
        <v>0</v>
      </c>
      <c r="U46" s="60">
        <f t="shared" si="6"/>
        <v>0</v>
      </c>
      <c r="V46" s="60">
        <f t="shared" si="6"/>
        <v>0</v>
      </c>
      <c r="X46" s="61">
        <f t="shared" si="7"/>
        <v>-1</v>
      </c>
      <c r="Y46" s="61" t="str">
        <f t="shared" si="7"/>
        <v/>
      </c>
      <c r="Z46" s="61" t="str">
        <f t="shared" si="7"/>
        <v/>
      </c>
      <c r="AA46" s="61" t="str">
        <f t="shared" si="7"/>
        <v/>
      </c>
      <c r="AB46" s="61" t="str">
        <f t="shared" si="7"/>
        <v/>
      </c>
      <c r="AC46" s="61" t="str">
        <f t="shared" si="7"/>
        <v/>
      </c>
      <c r="AD46" s="61" t="str">
        <f t="shared" si="7"/>
        <v/>
      </c>
      <c r="AE46" s="61" t="str">
        <f t="shared" si="7"/>
        <v/>
      </c>
      <c r="AF46" s="61" t="str">
        <f t="shared" si="7"/>
        <v/>
      </c>
    </row>
    <row r="47" spans="1:32" ht="13.8" x14ac:dyDescent="0.3">
      <c r="A47" s="58" t="s">
        <v>39</v>
      </c>
      <c r="B47" s="59">
        <v>0</v>
      </c>
      <c r="C47" s="59">
        <v>0</v>
      </c>
      <c r="D47" s="59">
        <v>7761</v>
      </c>
      <c r="E47" s="59">
        <v>6738</v>
      </c>
      <c r="F47" s="59">
        <v>6891</v>
      </c>
      <c r="G47" s="59">
        <v>114288</v>
      </c>
      <c r="H47" s="59">
        <v>59319</v>
      </c>
      <c r="I47" s="59">
        <v>9049</v>
      </c>
      <c r="J47" s="59">
        <v>9202</v>
      </c>
      <c r="K47" s="59">
        <v>0</v>
      </c>
      <c r="M47" s="60">
        <f t="shared" si="6"/>
        <v>0</v>
      </c>
      <c r="N47" s="60">
        <f t="shared" si="6"/>
        <v>0</v>
      </c>
      <c r="O47" s="60">
        <f t="shared" si="6"/>
        <v>2.188540462619272E-3</v>
      </c>
      <c r="P47" s="60">
        <f t="shared" si="6"/>
        <v>1.7335338723462499E-3</v>
      </c>
      <c r="Q47" s="60">
        <f t="shared" si="6"/>
        <v>1.5869638210938375E-3</v>
      </c>
      <c r="R47" s="60">
        <f t="shared" si="6"/>
        <v>1.9221286303118045E-2</v>
      </c>
      <c r="S47" s="60">
        <f t="shared" si="6"/>
        <v>9.3169282267161601E-3</v>
      </c>
      <c r="T47" s="60">
        <f t="shared" si="6"/>
        <v>1.5657979478685665E-3</v>
      </c>
      <c r="U47" s="60">
        <f t="shared" si="6"/>
        <v>1.5829673946906083E-3</v>
      </c>
      <c r="V47" s="60">
        <f t="shared" si="6"/>
        <v>0</v>
      </c>
      <c r="X47" s="61" t="str">
        <f t="shared" si="7"/>
        <v/>
      </c>
      <c r="Y47" s="61" t="str">
        <f t="shared" si="7"/>
        <v/>
      </c>
      <c r="Z47" s="61">
        <f t="shared" si="7"/>
        <v>-0.1318129107073831</v>
      </c>
      <c r="AA47" s="61">
        <f t="shared" si="7"/>
        <v>2.2707034728405961E-2</v>
      </c>
      <c r="AB47" s="61">
        <f t="shared" si="7"/>
        <v>15.585111014366564</v>
      </c>
      <c r="AC47" s="61">
        <f t="shared" si="7"/>
        <v>-0.48096913061738766</v>
      </c>
      <c r="AD47" s="61">
        <f t="shared" si="7"/>
        <v>-0.84745191254066987</v>
      </c>
      <c r="AE47" s="61">
        <f t="shared" si="7"/>
        <v>1.6907945629351273E-2</v>
      </c>
      <c r="AF47" s="61">
        <f t="shared" si="7"/>
        <v>-1</v>
      </c>
    </row>
    <row r="48" spans="1:32" ht="13.8" x14ac:dyDescent="0.3">
      <c r="A48" s="58" t="s">
        <v>49</v>
      </c>
      <c r="B48" s="59">
        <v>207385</v>
      </c>
      <c r="C48" s="59">
        <v>177818</v>
      </c>
      <c r="D48" s="59">
        <v>157597</v>
      </c>
      <c r="E48" s="59">
        <v>119395</v>
      </c>
      <c r="F48" s="59">
        <v>96285</v>
      </c>
      <c r="G48" s="59">
        <v>182945</v>
      </c>
      <c r="H48" s="59">
        <v>206259</v>
      </c>
      <c r="I48" s="59">
        <v>218480</v>
      </c>
      <c r="J48" s="59">
        <v>230204</v>
      </c>
      <c r="K48" s="59">
        <v>245659</v>
      </c>
      <c r="M48" s="60">
        <f t="shared" si="6"/>
        <v>6.9665922031677777E-2</v>
      </c>
      <c r="N48" s="60">
        <f t="shared" si="6"/>
        <v>5.7308937710072561E-2</v>
      </c>
      <c r="O48" s="60">
        <f t="shared" si="6"/>
        <v>4.4441104405026341E-2</v>
      </c>
      <c r="P48" s="60">
        <f t="shared" si="6"/>
        <v>3.0717613043748961E-2</v>
      </c>
      <c r="Q48" s="60">
        <f t="shared" si="6"/>
        <v>2.2173967713542322E-2</v>
      </c>
      <c r="R48" s="60">
        <f t="shared" si="6"/>
        <v>3.0768219084452701E-2</v>
      </c>
      <c r="S48" s="60">
        <f t="shared" si="6"/>
        <v>3.2396033296485924E-2</v>
      </c>
      <c r="T48" s="60">
        <f t="shared" si="6"/>
        <v>3.7804788998820248E-2</v>
      </c>
      <c r="U48" s="60">
        <f t="shared" si="6"/>
        <v>3.9600676605885329E-2</v>
      </c>
      <c r="V48" s="60">
        <f t="shared" si="6"/>
        <v>4.2564203058030221E-2</v>
      </c>
      <c r="X48" s="61">
        <f t="shared" si="7"/>
        <v>-0.14257058128601396</v>
      </c>
      <c r="Y48" s="61">
        <f t="shared" si="7"/>
        <v>-0.11371739643905565</v>
      </c>
      <c r="Z48" s="61">
        <f t="shared" si="7"/>
        <v>-0.24240309142940542</v>
      </c>
      <c r="AA48" s="61">
        <f t="shared" si="7"/>
        <v>-0.1935591942711169</v>
      </c>
      <c r="AB48" s="61">
        <f t="shared" si="7"/>
        <v>0.90003635041802976</v>
      </c>
      <c r="AC48" s="61">
        <f t="shared" si="7"/>
        <v>0.12743720790401492</v>
      </c>
      <c r="AD48" s="61">
        <f t="shared" si="7"/>
        <v>5.9250747846154583E-2</v>
      </c>
      <c r="AE48" s="61">
        <f t="shared" si="7"/>
        <v>5.366166239472725E-2</v>
      </c>
      <c r="AF48" s="61">
        <f t="shared" si="7"/>
        <v>6.7136105367413323E-2</v>
      </c>
    </row>
    <row r="49" spans="1:32" ht="13.8" x14ac:dyDescent="0.3">
      <c r="A49" s="62" t="s">
        <v>51</v>
      </c>
      <c r="B49" s="63">
        <v>623610</v>
      </c>
      <c r="C49" s="63">
        <v>534161</v>
      </c>
      <c r="D49" s="63">
        <v>507200</v>
      </c>
      <c r="E49" s="63">
        <v>788984</v>
      </c>
      <c r="F49" s="63">
        <v>978337</v>
      </c>
      <c r="G49" s="63">
        <v>1257178</v>
      </c>
      <c r="H49" s="63">
        <v>1253096</v>
      </c>
      <c r="I49" s="63">
        <v>1310250</v>
      </c>
      <c r="J49" s="63">
        <v>1181351</v>
      </c>
      <c r="K49" s="63">
        <v>1116733</v>
      </c>
      <c r="M49" s="64">
        <f t="shared" si="6"/>
        <v>0.20948653778322723</v>
      </c>
      <c r="N49" s="64">
        <f t="shared" si="6"/>
        <v>0.17215467205879081</v>
      </c>
      <c r="O49" s="64">
        <f t="shared" si="6"/>
        <v>0.14302637838429258</v>
      </c>
      <c r="P49" s="64">
        <f t="shared" si="6"/>
        <v>0.20298760592746121</v>
      </c>
      <c r="Q49" s="64">
        <f t="shared" si="6"/>
        <v>0.2253062579941201</v>
      </c>
      <c r="R49" s="64">
        <f t="shared" si="6"/>
        <v>0.21143583116321343</v>
      </c>
      <c r="S49" s="64">
        <f t="shared" si="6"/>
        <v>0.19681730125567043</v>
      </c>
      <c r="T49" s="64">
        <f t="shared" si="6"/>
        <v>0.22671972164822513</v>
      </c>
      <c r="U49" s="64">
        <f t="shared" si="6"/>
        <v>0.2032210513676532</v>
      </c>
      <c r="V49" s="64">
        <f t="shared" si="6"/>
        <v>0.19349118157121561</v>
      </c>
      <c r="X49" s="65">
        <f t="shared" si="7"/>
        <v>-0.14343740478824907</v>
      </c>
      <c r="Y49" s="65">
        <f t="shared" si="7"/>
        <v>-5.047354636523449E-2</v>
      </c>
      <c r="Z49" s="65">
        <f t="shared" si="7"/>
        <v>0.55556782334384858</v>
      </c>
      <c r="AA49" s="65">
        <f t="shared" si="7"/>
        <v>0.23999599484907175</v>
      </c>
      <c r="AB49" s="65">
        <f t="shared" si="7"/>
        <v>0.28501528614373162</v>
      </c>
      <c r="AC49" s="65">
        <f t="shared" si="7"/>
        <v>-3.246954687403103E-3</v>
      </c>
      <c r="AD49" s="65">
        <f t="shared" si="7"/>
        <v>4.5610232575955978E-2</v>
      </c>
      <c r="AE49" s="65">
        <f t="shared" si="7"/>
        <v>-9.8377408891432983E-2</v>
      </c>
      <c r="AF49" s="65">
        <f t="shared" si="7"/>
        <v>-5.4698391925854351E-2</v>
      </c>
    </row>
    <row r="50" spans="1:32" ht="13.8" x14ac:dyDescent="0.3">
      <c r="A50" s="62" t="s">
        <v>52</v>
      </c>
      <c r="B50" s="63">
        <v>1164952</v>
      </c>
      <c r="C50" s="63">
        <v>1250553</v>
      </c>
      <c r="D50" s="63">
        <v>1586983</v>
      </c>
      <c r="E50" s="63">
        <v>1799161</v>
      </c>
      <c r="F50" s="63">
        <v>2147349</v>
      </c>
      <c r="G50" s="63">
        <v>3392410</v>
      </c>
      <c r="H50" s="63">
        <v>3692777</v>
      </c>
      <c r="I50" s="63">
        <v>3081548</v>
      </c>
      <c r="J50" s="63">
        <v>2992018</v>
      </c>
      <c r="K50" s="63">
        <v>2759257</v>
      </c>
      <c r="M50" s="64">
        <f t="shared" si="6"/>
        <v>0.39133715168718614</v>
      </c>
      <c r="N50" s="64">
        <f t="shared" si="6"/>
        <v>0.40304054696456132</v>
      </c>
      <c r="O50" s="64">
        <f t="shared" si="6"/>
        <v>0.44751662272760212</v>
      </c>
      <c r="P50" s="64">
        <f t="shared" si="6"/>
        <v>0.46288313079613402</v>
      </c>
      <c r="Q50" s="64">
        <f t="shared" si="6"/>
        <v>0.4945240421219026</v>
      </c>
      <c r="R50" s="64">
        <f t="shared" si="6"/>
        <v>0.57054532293469729</v>
      </c>
      <c r="S50" s="64">
        <f t="shared" si="6"/>
        <v>0.58000536533434865</v>
      </c>
      <c r="T50" s="64">
        <f t="shared" si="6"/>
        <v>0.53321709964178199</v>
      </c>
      <c r="U50" s="64">
        <f t="shared" si="6"/>
        <v>0.51469973248504719</v>
      </c>
      <c r="V50" s="64">
        <f t="shared" si="6"/>
        <v>0.47808374713440699</v>
      </c>
      <c r="X50" s="65">
        <f t="shared" si="7"/>
        <v>7.3480280732596714E-2</v>
      </c>
      <c r="Y50" s="65">
        <f t="shared" si="7"/>
        <v>0.26902498334736702</v>
      </c>
      <c r="Z50" s="65">
        <f t="shared" si="7"/>
        <v>0.13369897472121628</v>
      </c>
      <c r="AA50" s="65">
        <f t="shared" si="7"/>
        <v>0.19352798332111476</v>
      </c>
      <c r="AB50" s="65">
        <f t="shared" si="7"/>
        <v>0.57981306252500175</v>
      </c>
      <c r="AC50" s="65">
        <f t="shared" si="7"/>
        <v>8.8540889809899159E-2</v>
      </c>
      <c r="AD50" s="65">
        <f t="shared" si="7"/>
        <v>-0.16552014919936953</v>
      </c>
      <c r="AE50" s="65">
        <f t="shared" si="7"/>
        <v>-2.9053579564556564E-2</v>
      </c>
      <c r="AF50" s="65">
        <f t="shared" si="7"/>
        <v>-7.7793983859722804E-2</v>
      </c>
    </row>
    <row r="51" spans="1:32" ht="13.8" x14ac:dyDescent="0.3">
      <c r="A51" s="66" t="s">
        <v>53</v>
      </c>
      <c r="B51" s="70"/>
      <c r="C51" s="70"/>
      <c r="D51" s="70"/>
      <c r="E51" s="70"/>
      <c r="F51" s="70"/>
      <c r="G51" s="70"/>
      <c r="H51" s="70"/>
      <c r="I51" s="70"/>
      <c r="J51" s="70"/>
      <c r="K51" s="67"/>
    </row>
    <row r="52" spans="1:32" ht="13.8" x14ac:dyDescent="0.3">
      <c r="A52" s="58" t="s">
        <v>54</v>
      </c>
      <c r="B52" s="59">
        <v>941875</v>
      </c>
      <c r="C52" s="59">
        <v>941875</v>
      </c>
      <c r="D52" s="59">
        <v>890858</v>
      </c>
      <c r="E52" s="59">
        <v>890858</v>
      </c>
      <c r="F52" s="59">
        <v>890858</v>
      </c>
      <c r="G52" s="59">
        <v>890858</v>
      </c>
      <c r="H52" s="59">
        <v>890858</v>
      </c>
      <c r="I52" s="59">
        <v>890858</v>
      </c>
      <c r="J52" s="59">
        <v>890858</v>
      </c>
      <c r="K52" s="59">
        <v>890858</v>
      </c>
      <c r="M52" s="60">
        <f t="shared" ref="M52:V59" si="8">IFERROR(B52/B$32,"")</f>
        <v>0.31639988578530998</v>
      </c>
      <c r="N52" s="60">
        <f t="shared" si="8"/>
        <v>0.30355675862778003</v>
      </c>
      <c r="O52" s="60">
        <f t="shared" si="8"/>
        <v>0.25121489233965721</v>
      </c>
      <c r="P52" s="60">
        <f t="shared" si="8"/>
        <v>0.22919746489323767</v>
      </c>
      <c r="Q52" s="60">
        <f t="shared" si="8"/>
        <v>0.20516026929792683</v>
      </c>
      <c r="R52" s="60">
        <f t="shared" si="8"/>
        <v>0.1498270743509654</v>
      </c>
      <c r="S52" s="60">
        <f t="shared" si="8"/>
        <v>0.13992245395566186</v>
      </c>
      <c r="T52" s="60">
        <f t="shared" si="8"/>
        <v>0.15415003074840261</v>
      </c>
      <c r="U52" s="60">
        <f t="shared" si="8"/>
        <v>0.15324920314054399</v>
      </c>
      <c r="V52" s="60">
        <f t="shared" si="8"/>
        <v>0.15435486103855622</v>
      </c>
      <c r="X52" s="61">
        <f t="shared" ref="X52:AF59" si="9">IFERROR(IF(B52=0,"",C52/B52-1),"")</f>
        <v>0</v>
      </c>
      <c r="Y52" s="61">
        <f t="shared" si="9"/>
        <v>-5.4165361645653665E-2</v>
      </c>
      <c r="Z52" s="61">
        <f t="shared" si="9"/>
        <v>0</v>
      </c>
      <c r="AA52" s="61">
        <f t="shared" si="9"/>
        <v>0</v>
      </c>
      <c r="AB52" s="61">
        <f t="shared" si="9"/>
        <v>0</v>
      </c>
      <c r="AC52" s="61">
        <f t="shared" si="9"/>
        <v>0</v>
      </c>
      <c r="AD52" s="61">
        <f t="shared" si="9"/>
        <v>0</v>
      </c>
      <c r="AE52" s="61">
        <f t="shared" si="9"/>
        <v>0</v>
      </c>
      <c r="AF52" s="61">
        <f t="shared" si="9"/>
        <v>0</v>
      </c>
    </row>
    <row r="53" spans="1:32" ht="13.8" x14ac:dyDescent="0.3">
      <c r="A53" s="58" t="s">
        <v>56</v>
      </c>
      <c r="B53" s="59">
        <v>200936</v>
      </c>
      <c r="C53" s="59">
        <v>200936</v>
      </c>
      <c r="D53" s="59">
        <v>190052</v>
      </c>
      <c r="E53" s="59">
        <v>190052</v>
      </c>
      <c r="F53" s="59">
        <v>182408</v>
      </c>
      <c r="G53" s="59">
        <v>182408</v>
      </c>
      <c r="H53" s="59">
        <v>182408</v>
      </c>
      <c r="I53" s="59">
        <v>182408</v>
      </c>
      <c r="J53" s="59">
        <v>182408</v>
      </c>
      <c r="K53" s="59">
        <v>182408</v>
      </c>
      <c r="M53" s="60">
        <f t="shared" si="8"/>
        <v>6.7499538102356524E-2</v>
      </c>
      <c r="N53" s="60">
        <f t="shared" si="8"/>
        <v>6.4759634613543851E-2</v>
      </c>
      <c r="O53" s="60">
        <f t="shared" si="8"/>
        <v>5.3593157067609573E-2</v>
      </c>
      <c r="P53" s="60">
        <f t="shared" si="8"/>
        <v>4.8896049199636311E-2</v>
      </c>
      <c r="Q53" s="60">
        <f t="shared" si="8"/>
        <v>4.2007676197661402E-2</v>
      </c>
      <c r="R53" s="60">
        <f t="shared" si="8"/>
        <v>3.0677904871720181E-2</v>
      </c>
      <c r="S53" s="60">
        <f t="shared" si="8"/>
        <v>2.8649880206659612E-2</v>
      </c>
      <c r="T53" s="60">
        <f t="shared" si="8"/>
        <v>3.1563053605349702E-2</v>
      </c>
      <c r="U53" s="60">
        <f t="shared" si="8"/>
        <v>3.1378604274149582E-2</v>
      </c>
      <c r="V53" s="60">
        <f t="shared" si="8"/>
        <v>3.1604993716530541E-2</v>
      </c>
      <c r="X53" s="61">
        <f t="shared" si="9"/>
        <v>0</v>
      </c>
      <c r="Y53" s="61">
        <f t="shared" si="9"/>
        <v>-5.4166500776366644E-2</v>
      </c>
      <c r="Z53" s="61">
        <f t="shared" si="9"/>
        <v>0</v>
      </c>
      <c r="AA53" s="61">
        <f t="shared" si="9"/>
        <v>-4.0220571212089329E-2</v>
      </c>
      <c r="AB53" s="61">
        <f t="shared" si="9"/>
        <v>0</v>
      </c>
      <c r="AC53" s="61">
        <f t="shared" si="9"/>
        <v>0</v>
      </c>
      <c r="AD53" s="61">
        <f t="shared" si="9"/>
        <v>0</v>
      </c>
      <c r="AE53" s="61">
        <f t="shared" si="9"/>
        <v>0</v>
      </c>
      <c r="AF53" s="61">
        <f t="shared" si="9"/>
        <v>0</v>
      </c>
    </row>
    <row r="54" spans="1:32" ht="13.8" x14ac:dyDescent="0.3">
      <c r="A54" s="58" t="s">
        <v>57</v>
      </c>
      <c r="B54" s="59">
        <v>-37391</v>
      </c>
      <c r="C54" s="59">
        <v>-69545</v>
      </c>
      <c r="D54" s="59">
        <v>-7644</v>
      </c>
      <c r="E54" s="59">
        <v>-7644</v>
      </c>
      <c r="F54" s="59">
        <v>0</v>
      </c>
      <c r="G54" s="59">
        <v>0</v>
      </c>
      <c r="H54" s="59">
        <v>0</v>
      </c>
      <c r="I54" s="59">
        <v>0</v>
      </c>
      <c r="J54" s="59">
        <v>0</v>
      </c>
      <c r="K54" s="59">
        <v>0</v>
      </c>
      <c r="M54" s="60">
        <f t="shared" si="8"/>
        <v>-1.2560592572685892E-2</v>
      </c>
      <c r="N54" s="60">
        <f t="shared" si="8"/>
        <v>-2.2413648073012833E-2</v>
      </c>
      <c r="O54" s="60">
        <f t="shared" si="8"/>
        <v>-2.1555473903184792E-3</v>
      </c>
      <c r="P54" s="60">
        <f t="shared" si="8"/>
        <v>-1.9666270288237957E-3</v>
      </c>
      <c r="Q54" s="60">
        <f t="shared" si="8"/>
        <v>0</v>
      </c>
      <c r="R54" s="60">
        <f t="shared" si="8"/>
        <v>0</v>
      </c>
      <c r="S54" s="60">
        <f t="shared" si="8"/>
        <v>0</v>
      </c>
      <c r="T54" s="60">
        <f t="shared" si="8"/>
        <v>0</v>
      </c>
      <c r="U54" s="60">
        <f t="shared" si="8"/>
        <v>0</v>
      </c>
      <c r="V54" s="60">
        <f t="shared" si="8"/>
        <v>0</v>
      </c>
      <c r="X54" s="61">
        <f t="shared" si="9"/>
        <v>0.85993955764756236</v>
      </c>
      <c r="Y54" s="61">
        <f t="shared" si="9"/>
        <v>-0.89008555611474582</v>
      </c>
      <c r="Z54" s="61">
        <f t="shared" si="9"/>
        <v>0</v>
      </c>
      <c r="AA54" s="61">
        <f t="shared" si="9"/>
        <v>-1</v>
      </c>
      <c r="AB54" s="61" t="str">
        <f t="shared" si="9"/>
        <v/>
      </c>
      <c r="AC54" s="61" t="str">
        <f t="shared" si="9"/>
        <v/>
      </c>
      <c r="AD54" s="61" t="str">
        <f t="shared" si="9"/>
        <v/>
      </c>
      <c r="AE54" s="61" t="str">
        <f t="shared" si="9"/>
        <v/>
      </c>
      <c r="AF54" s="61" t="str">
        <f t="shared" si="9"/>
        <v/>
      </c>
    </row>
    <row r="55" spans="1:32" ht="13.8" x14ac:dyDescent="0.3">
      <c r="A55" s="58" t="s">
        <v>58</v>
      </c>
      <c r="B55" s="59">
        <v>142175</v>
      </c>
      <c r="C55" s="59">
        <v>152169</v>
      </c>
      <c r="D55" s="59">
        <v>165074</v>
      </c>
      <c r="E55" s="59">
        <v>178261</v>
      </c>
      <c r="F55" s="59">
        <v>178293</v>
      </c>
      <c r="G55" s="59">
        <v>178449</v>
      </c>
      <c r="H55" s="59">
        <v>178449</v>
      </c>
      <c r="I55" s="59">
        <v>178742</v>
      </c>
      <c r="J55" s="59">
        <v>178927</v>
      </c>
      <c r="K55" s="59">
        <v>179066</v>
      </c>
      <c r="M55" s="60">
        <f t="shared" si="8"/>
        <v>4.7760216336059931E-2</v>
      </c>
      <c r="N55" s="60">
        <f t="shared" si="8"/>
        <v>4.9042525179700765E-2</v>
      </c>
      <c r="O55" s="60">
        <f t="shared" si="8"/>
        <v>4.6549559119496681E-2</v>
      </c>
      <c r="P55" s="60">
        <f t="shared" si="8"/>
        <v>4.5862493561637706E-2</v>
      </c>
      <c r="Q55" s="60">
        <f t="shared" si="8"/>
        <v>4.1060011689781392E-2</v>
      </c>
      <c r="R55" s="60">
        <f t="shared" si="8"/>
        <v>3.0012068804293641E-2</v>
      </c>
      <c r="S55" s="60">
        <f t="shared" si="8"/>
        <v>2.8028060572991322E-2</v>
      </c>
      <c r="T55" s="60">
        <f t="shared" si="8"/>
        <v>3.0928705580497658E-2</v>
      </c>
      <c r="U55" s="60">
        <f t="shared" si="8"/>
        <v>3.0779787766768797E-2</v>
      </c>
      <c r="V55" s="60">
        <f t="shared" si="8"/>
        <v>3.1025940774770062E-2</v>
      </c>
      <c r="X55" s="61">
        <f t="shared" si="9"/>
        <v>7.029365218920347E-2</v>
      </c>
      <c r="Y55" s="61">
        <f t="shared" si="9"/>
        <v>8.4807023769624568E-2</v>
      </c>
      <c r="Z55" s="61">
        <f t="shared" si="9"/>
        <v>7.9885384736542386E-2</v>
      </c>
      <c r="AA55" s="61">
        <f t="shared" si="9"/>
        <v>1.7951206377175843E-4</v>
      </c>
      <c r="AB55" s="61">
        <f t="shared" si="9"/>
        <v>8.7496424424959862E-4</v>
      </c>
      <c r="AC55" s="61">
        <f t="shared" si="9"/>
        <v>0</v>
      </c>
      <c r="AD55" s="61">
        <f t="shared" si="9"/>
        <v>1.6419257042628033E-3</v>
      </c>
      <c r="AE55" s="61">
        <f t="shared" si="9"/>
        <v>1.0350113571515607E-3</v>
      </c>
      <c r="AF55" s="61">
        <f t="shared" si="9"/>
        <v>7.7685313004738354E-4</v>
      </c>
    </row>
    <row r="56" spans="1:32" ht="13.8" x14ac:dyDescent="0.3">
      <c r="A56" s="58" t="s">
        <v>59</v>
      </c>
      <c r="B56" s="59">
        <v>299629</v>
      </c>
      <c r="C56" s="59">
        <v>402602</v>
      </c>
      <c r="D56" s="59">
        <v>500394</v>
      </c>
      <c r="E56" s="59">
        <v>618158</v>
      </c>
      <c r="F56" s="59">
        <v>727319</v>
      </c>
      <c r="G56" s="59">
        <v>1086391</v>
      </c>
      <c r="H56" s="59">
        <v>1219356</v>
      </c>
      <c r="I56" s="59">
        <v>1251639</v>
      </c>
      <c r="J56" s="59">
        <v>1385475</v>
      </c>
      <c r="K56" s="59">
        <v>1574463</v>
      </c>
      <c r="M56" s="60">
        <f t="shared" si="8"/>
        <v>0.10065303928649412</v>
      </c>
      <c r="N56" s="60">
        <f t="shared" si="8"/>
        <v>0.12975454082236124</v>
      </c>
      <c r="O56" s="60">
        <f t="shared" si="8"/>
        <v>0.14110714034942765</v>
      </c>
      <c r="P56" s="60">
        <f t="shared" si="8"/>
        <v>0.15903796845678436</v>
      </c>
      <c r="Q56" s="60">
        <f t="shared" si="8"/>
        <v>0.16749803212801462</v>
      </c>
      <c r="R56" s="60">
        <f t="shared" si="8"/>
        <v>0.18271237967355028</v>
      </c>
      <c r="S56" s="60">
        <f t="shared" si="8"/>
        <v>0.19151793413266763</v>
      </c>
      <c r="T56" s="60">
        <f t="shared" si="8"/>
        <v>0.21657793984664211</v>
      </c>
      <c r="U56" s="60">
        <f t="shared" si="8"/>
        <v>0.23833533483579336</v>
      </c>
      <c r="V56" s="60">
        <f t="shared" si="8"/>
        <v>0.27279994968373</v>
      </c>
      <c r="X56" s="61">
        <f t="shared" si="9"/>
        <v>0.34366833650948347</v>
      </c>
      <c r="Y56" s="61">
        <f t="shared" si="9"/>
        <v>0.24289993591686088</v>
      </c>
      <c r="Z56" s="61">
        <f t="shared" si="9"/>
        <v>0.23534255007054439</v>
      </c>
      <c r="AA56" s="61">
        <f t="shared" si="9"/>
        <v>0.17659077452690086</v>
      </c>
      <c r="AB56" s="61">
        <f t="shared" si="9"/>
        <v>0.4936925888090371</v>
      </c>
      <c r="AC56" s="61">
        <f t="shared" si="9"/>
        <v>0.12239147783808968</v>
      </c>
      <c r="AD56" s="61">
        <f t="shared" si="9"/>
        <v>2.6475450975760983E-2</v>
      </c>
      <c r="AE56" s="61">
        <f t="shared" si="9"/>
        <v>0.10692859522593978</v>
      </c>
      <c r="AF56" s="61">
        <f t="shared" si="9"/>
        <v>0.13640664753965237</v>
      </c>
    </row>
    <row r="57" spans="1:32" ht="13.8" x14ac:dyDescent="0.3">
      <c r="A57" s="58" t="s">
        <v>60</v>
      </c>
      <c r="B57" s="59">
        <v>264674</v>
      </c>
      <c r="C57" s="59">
        <v>224207</v>
      </c>
      <c r="D57" s="59">
        <v>220482</v>
      </c>
      <c r="E57" s="59">
        <v>218012</v>
      </c>
      <c r="F57" s="59">
        <v>216027</v>
      </c>
      <c r="G57" s="59">
        <v>215392</v>
      </c>
      <c r="H57" s="59">
        <v>202950</v>
      </c>
      <c r="I57" s="59">
        <v>193967</v>
      </c>
      <c r="J57" s="59">
        <v>183447</v>
      </c>
      <c r="K57" s="59">
        <v>185441</v>
      </c>
      <c r="M57" s="60">
        <f t="shared" si="8"/>
        <v>8.8910761375279243E-2</v>
      </c>
      <c r="N57" s="60">
        <f t="shared" si="8"/>
        <v>7.2259641865065616E-2</v>
      </c>
      <c r="O57" s="60">
        <f t="shared" si="8"/>
        <v>6.2174175786525232E-2</v>
      </c>
      <c r="P57" s="60">
        <f t="shared" si="8"/>
        <v>5.6089520121393684E-2</v>
      </c>
      <c r="Q57" s="60">
        <f t="shared" si="8"/>
        <v>4.9749968564713164E-2</v>
      </c>
      <c r="R57" s="60">
        <f t="shared" si="8"/>
        <v>3.622524936477322E-2</v>
      </c>
      <c r="S57" s="60">
        <f t="shared" si="8"/>
        <v>3.1876305797670978E-2</v>
      </c>
      <c r="T57" s="60">
        <f t="shared" si="8"/>
        <v>3.356317057732592E-2</v>
      </c>
      <c r="U57" s="60">
        <f t="shared" si="8"/>
        <v>3.1557337497697027E-2</v>
      </c>
      <c r="V57" s="60">
        <f t="shared" si="8"/>
        <v>3.213050765200616E-2</v>
      </c>
      <c r="X57" s="61">
        <f t="shared" si="9"/>
        <v>-0.15289374853593474</v>
      </c>
      <c r="Y57" s="61">
        <f t="shared" si="9"/>
        <v>-1.6614111067005055E-2</v>
      </c>
      <c r="Z57" s="61">
        <f t="shared" si="9"/>
        <v>-1.1202728567411446E-2</v>
      </c>
      <c r="AA57" s="61">
        <f t="shared" si="9"/>
        <v>-9.1050033943085307E-3</v>
      </c>
      <c r="AB57" s="61">
        <f t="shared" si="9"/>
        <v>-2.9394473838918467E-3</v>
      </c>
      <c r="AC57" s="61">
        <f t="shared" si="9"/>
        <v>-5.7764448076065955E-2</v>
      </c>
      <c r="AD57" s="61">
        <f t="shared" si="9"/>
        <v>-4.4262133530426184E-2</v>
      </c>
      <c r="AE57" s="61">
        <f t="shared" si="9"/>
        <v>-5.4236029840127431E-2</v>
      </c>
      <c r="AF57" s="61">
        <f t="shared" si="9"/>
        <v>1.0869624469192818E-2</v>
      </c>
    </row>
    <row r="58" spans="1:32" ht="13.8" x14ac:dyDescent="0.3">
      <c r="A58" s="71" t="s">
        <v>61</v>
      </c>
      <c r="B58" s="72">
        <v>1811898</v>
      </c>
      <c r="C58" s="72">
        <v>1852244</v>
      </c>
      <c r="D58" s="72">
        <v>1959216</v>
      </c>
      <c r="E58" s="72">
        <v>2087697</v>
      </c>
      <c r="F58" s="72">
        <v>2194905</v>
      </c>
      <c r="G58" s="72">
        <v>2553498</v>
      </c>
      <c r="H58" s="72">
        <v>2674021</v>
      </c>
      <c r="I58" s="72">
        <v>2697614</v>
      </c>
      <c r="J58" s="72">
        <v>2821115</v>
      </c>
      <c r="K58" s="72">
        <v>3012236</v>
      </c>
      <c r="M58" s="73">
        <f t="shared" si="8"/>
        <v>0.60866284831281392</v>
      </c>
      <c r="N58" s="73">
        <f t="shared" si="8"/>
        <v>0.59695945303543863</v>
      </c>
      <c r="O58" s="73">
        <f t="shared" si="8"/>
        <v>0.55248337727239782</v>
      </c>
      <c r="P58" s="73">
        <f t="shared" si="8"/>
        <v>0.53711686920386592</v>
      </c>
      <c r="Q58" s="73">
        <f t="shared" si="8"/>
        <v>0.5054759578780974</v>
      </c>
      <c r="R58" s="73">
        <f t="shared" si="8"/>
        <v>0.42945467706530271</v>
      </c>
      <c r="S58" s="73">
        <f t="shared" si="8"/>
        <v>0.4199946346656514</v>
      </c>
      <c r="T58" s="73">
        <f t="shared" si="8"/>
        <v>0.46678290035821801</v>
      </c>
      <c r="U58" s="73">
        <f t="shared" si="8"/>
        <v>0.48530026751495275</v>
      </c>
      <c r="V58" s="73">
        <f t="shared" si="8"/>
        <v>0.52191625286559296</v>
      </c>
      <c r="X58" s="74">
        <f t="shared" si="9"/>
        <v>2.226725786992434E-2</v>
      </c>
      <c r="Y58" s="74">
        <f t="shared" si="9"/>
        <v>5.7752650298772634E-2</v>
      </c>
      <c r="Z58" s="74">
        <f t="shared" si="9"/>
        <v>6.5577761716931748E-2</v>
      </c>
      <c r="AA58" s="74">
        <f t="shared" si="9"/>
        <v>5.1352279569305326E-2</v>
      </c>
      <c r="AB58" s="74">
        <f t="shared" si="9"/>
        <v>0.16337518024698117</v>
      </c>
      <c r="AC58" s="74">
        <f t="shared" si="9"/>
        <v>4.7199175405659322E-2</v>
      </c>
      <c r="AD58" s="74">
        <f t="shared" si="9"/>
        <v>8.8230421526234171E-3</v>
      </c>
      <c r="AE58" s="74">
        <f t="shared" si="9"/>
        <v>4.5781568452714083E-2</v>
      </c>
      <c r="AF58" s="74">
        <f t="shared" si="9"/>
        <v>6.7746617915256824E-2</v>
      </c>
    </row>
    <row r="59" spans="1:32" ht="13.8" x14ac:dyDescent="0.3">
      <c r="A59" s="71" t="s">
        <v>62</v>
      </c>
      <c r="B59" s="72">
        <v>2976850</v>
      </c>
      <c r="C59" s="72">
        <v>3102797</v>
      </c>
      <c r="D59" s="72">
        <v>3546199</v>
      </c>
      <c r="E59" s="72">
        <v>3886858</v>
      </c>
      <c r="F59" s="72">
        <v>4342254</v>
      </c>
      <c r="G59" s="72">
        <v>5945908</v>
      </c>
      <c r="H59" s="72">
        <v>6366798</v>
      </c>
      <c r="I59" s="72">
        <v>5779162</v>
      </c>
      <c r="J59" s="72">
        <v>5813133</v>
      </c>
      <c r="K59" s="72">
        <v>5771493</v>
      </c>
      <c r="M59" s="73">
        <f t="shared" si="8"/>
        <v>1</v>
      </c>
      <c r="N59" s="73">
        <f t="shared" si="8"/>
        <v>1</v>
      </c>
      <c r="O59" s="73">
        <f t="shared" si="8"/>
        <v>1</v>
      </c>
      <c r="P59" s="73">
        <f t="shared" si="8"/>
        <v>1</v>
      </c>
      <c r="Q59" s="73">
        <f t="shared" si="8"/>
        <v>1</v>
      </c>
      <c r="R59" s="73">
        <f t="shared" si="8"/>
        <v>1</v>
      </c>
      <c r="S59" s="73">
        <f t="shared" si="8"/>
        <v>1</v>
      </c>
      <c r="T59" s="73">
        <f t="shared" si="8"/>
        <v>1</v>
      </c>
      <c r="U59" s="73">
        <f t="shared" si="8"/>
        <v>1</v>
      </c>
      <c r="V59" s="73">
        <f t="shared" si="8"/>
        <v>1</v>
      </c>
      <c r="X59" s="74">
        <f t="shared" si="9"/>
        <v>4.2308816366293245E-2</v>
      </c>
      <c r="Y59" s="74">
        <f t="shared" si="9"/>
        <v>0.14290396696915719</v>
      </c>
      <c r="Z59" s="74">
        <f t="shared" si="9"/>
        <v>9.6063136896716639E-2</v>
      </c>
      <c r="AA59" s="74">
        <f t="shared" si="9"/>
        <v>0.11716301444508659</v>
      </c>
      <c r="AB59" s="74">
        <f t="shared" si="9"/>
        <v>0.36931372508379279</v>
      </c>
      <c r="AC59" s="74">
        <f t="shared" si="9"/>
        <v>7.0786497201100307E-2</v>
      </c>
      <c r="AD59" s="74">
        <f t="shared" si="9"/>
        <v>-9.2296944241045509E-2</v>
      </c>
      <c r="AE59" s="74">
        <f t="shared" si="9"/>
        <v>5.8781878756817285E-3</v>
      </c>
      <c r="AF59" s="74">
        <f t="shared" si="9"/>
        <v>-7.1630908840378815E-3</v>
      </c>
    </row>
    <row r="60" spans="1:32" ht="13.8" x14ac:dyDescent="0.3"/>
    <row r="61" spans="1:32" ht="13.8" x14ac:dyDescent="0.3"/>
    <row r="62" spans="1:32" ht="13.8" x14ac:dyDescent="0.3"/>
    <row r="63" spans="1:32" ht="13.8" x14ac:dyDescent="0.3"/>
    <row r="64" spans="1:32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3">
    <mergeCell ref="B5:K5"/>
    <mergeCell ref="M5:V5"/>
    <mergeCell ref="X5:AF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1B73-3B6A-4170-85C5-357E97AC1ECE}">
  <dimension ref="A1:AB1000"/>
  <sheetViews>
    <sheetView workbookViewId="0"/>
  </sheetViews>
  <sheetFormatPr baseColWidth="10" defaultColWidth="14.44140625" defaultRowHeight="15" customHeight="1" x14ac:dyDescent="0.3"/>
  <cols>
    <col min="1" max="1" width="38.6640625" customWidth="1"/>
    <col min="2" max="28" width="10.6640625" customWidth="1"/>
  </cols>
  <sheetData>
    <row r="1" spans="1:28" ht="14.4" x14ac:dyDescent="0.3">
      <c r="A1" s="1" t="s">
        <v>0</v>
      </c>
    </row>
    <row r="2" spans="1:28" ht="14.4" x14ac:dyDescent="0.3">
      <c r="B2" s="2" t="s">
        <v>1</v>
      </c>
      <c r="C2" s="3"/>
      <c r="D2" s="3"/>
      <c r="E2" s="3"/>
      <c r="F2" s="3"/>
      <c r="G2" s="3"/>
      <c r="H2" s="3"/>
      <c r="I2" s="3"/>
      <c r="J2" s="4"/>
      <c r="K2" s="5" t="s">
        <v>2</v>
      </c>
      <c r="L2" s="3"/>
      <c r="M2" s="3"/>
      <c r="N2" s="3"/>
      <c r="O2" s="3"/>
      <c r="P2" s="3"/>
      <c r="Q2" s="3"/>
      <c r="R2" s="3"/>
      <c r="S2" s="4"/>
      <c r="T2" s="6" t="s">
        <v>3</v>
      </c>
      <c r="U2" s="3"/>
      <c r="V2" s="3"/>
      <c r="W2" s="3"/>
      <c r="X2" s="3"/>
      <c r="Y2" s="3"/>
      <c r="Z2" s="3"/>
      <c r="AA2" s="3"/>
      <c r="AB2" s="4"/>
    </row>
    <row r="3" spans="1:28" ht="14.4" x14ac:dyDescent="0.3">
      <c r="A3" s="7" t="s">
        <v>4</v>
      </c>
      <c r="B3" s="8">
        <v>2025</v>
      </c>
      <c r="C3" s="8">
        <v>2024</v>
      </c>
      <c r="D3" s="8">
        <v>2023</v>
      </c>
      <c r="E3" s="8">
        <v>2022</v>
      </c>
      <c r="F3" s="8">
        <v>2021</v>
      </c>
      <c r="G3" s="8">
        <v>2020</v>
      </c>
      <c r="H3" s="8">
        <v>2019</v>
      </c>
      <c r="I3" s="8">
        <v>2018</v>
      </c>
      <c r="J3" s="8">
        <v>2017</v>
      </c>
      <c r="K3" s="9">
        <v>2025</v>
      </c>
      <c r="L3" s="9">
        <v>2024</v>
      </c>
      <c r="M3" s="9">
        <v>2023</v>
      </c>
      <c r="N3" s="9">
        <v>2022</v>
      </c>
      <c r="O3" s="9">
        <v>2021</v>
      </c>
      <c r="P3" s="9">
        <v>2020</v>
      </c>
      <c r="Q3" s="9">
        <v>2019</v>
      </c>
      <c r="R3" s="9">
        <v>2018</v>
      </c>
      <c r="S3" s="9">
        <v>2017</v>
      </c>
      <c r="T3" s="10">
        <v>2025</v>
      </c>
      <c r="U3" s="10">
        <v>2024</v>
      </c>
      <c r="V3" s="10">
        <v>2023</v>
      </c>
      <c r="W3" s="10">
        <v>2022</v>
      </c>
      <c r="X3" s="10">
        <v>2021</v>
      </c>
      <c r="Y3" s="10">
        <v>2020</v>
      </c>
      <c r="Z3" s="10">
        <v>2019</v>
      </c>
      <c r="AA3" s="10">
        <v>2018</v>
      </c>
      <c r="AB3" s="10">
        <v>2017</v>
      </c>
    </row>
    <row r="4" spans="1:28" ht="14.4" x14ac:dyDescent="0.3">
      <c r="A4" s="11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</row>
    <row r="5" spans="1:28" ht="14.4" x14ac:dyDescent="0.3">
      <c r="A5" s="14" t="s">
        <v>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6"/>
    </row>
    <row r="6" spans="1:28" ht="14.4" x14ac:dyDescent="0.3">
      <c r="A6" s="17" t="s">
        <v>7</v>
      </c>
      <c r="B6" s="18">
        <v>18.395</v>
      </c>
      <c r="C6" s="18">
        <v>5.9119999999999999</v>
      </c>
      <c r="D6" s="18">
        <v>16.131</v>
      </c>
      <c r="E6" s="18">
        <v>2.0779999999999998</v>
      </c>
      <c r="F6" s="18">
        <v>728</v>
      </c>
      <c r="G6" s="18">
        <v>1.3149999999999999</v>
      </c>
      <c r="H6" s="18">
        <v>1.829</v>
      </c>
      <c r="I6" s="18">
        <v>2.387</v>
      </c>
      <c r="J6" s="18">
        <v>3.1520000000000001</v>
      </c>
      <c r="K6" s="19">
        <f t="shared" ref="K6:K20" si="0">B6/$B$40</f>
        <v>5.1878278526707657E-2</v>
      </c>
      <c r="L6" s="19">
        <f t="shared" ref="L6:L20" si="1">C6/$C$40</f>
        <v>1.5976910229870769E-2</v>
      </c>
      <c r="M6" s="19">
        <f t="shared" ref="M6:M20" si="2">D6/$D$40</f>
        <v>4.490850424697311E-2</v>
      </c>
      <c r="N6" s="19">
        <f t="shared" ref="N6:N20" si="3">E6/$E$40</f>
        <v>5.0335733041363476E-3</v>
      </c>
      <c r="O6" s="19">
        <f t="shared" ref="O6:O20" si="4">F6/$F$40</f>
        <v>1.7725186564892932</v>
      </c>
      <c r="P6" s="19">
        <f t="shared" ref="P6:P20" si="5">G6/$G$40</f>
        <v>3.6924200092661491E-3</v>
      </c>
      <c r="Q6" s="19">
        <f t="shared" ref="Q6:Q20" si="6">H6/$H$40</f>
        <v>5.2312743830585651E-3</v>
      </c>
      <c r="R6" s="19">
        <f t="shared" ref="R6:R20" si="7">I6/$I$40</f>
        <v>6.7958456229857299E-3</v>
      </c>
      <c r="S6" s="19">
        <f t="shared" ref="S6:S20" si="8">J6/$J$40</f>
        <v>9.1281884947756187E-3</v>
      </c>
      <c r="T6" s="20">
        <f t="shared" ref="T6:AB20" si="9">IF(C6=0,"---",B6/C6)</f>
        <v>3.111468200270636</v>
      </c>
      <c r="U6" s="20">
        <f t="shared" si="9"/>
        <v>0.36649928708697538</v>
      </c>
      <c r="V6" s="20">
        <f t="shared" si="9"/>
        <v>7.7627526467757466</v>
      </c>
      <c r="W6" s="20">
        <f t="shared" si="9"/>
        <v>2.8543956043956043E-3</v>
      </c>
      <c r="X6" s="20">
        <f t="shared" si="9"/>
        <v>553.61216730038029</v>
      </c>
      <c r="Y6" s="20">
        <f t="shared" si="9"/>
        <v>0.7189721159103335</v>
      </c>
      <c r="Z6" s="20">
        <f t="shared" si="9"/>
        <v>0.76623376623376627</v>
      </c>
      <c r="AA6" s="20">
        <f t="shared" si="9"/>
        <v>0.75729695431472077</v>
      </c>
      <c r="AB6" s="20">
        <f t="shared" si="9"/>
        <v>60.757605871160642</v>
      </c>
    </row>
    <row r="7" spans="1:28" ht="14.4" x14ac:dyDescent="0.3">
      <c r="A7" s="21" t="s">
        <v>8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f t="shared" si="0"/>
        <v>0</v>
      </c>
      <c r="L7" s="22">
        <f t="shared" si="1"/>
        <v>0</v>
      </c>
      <c r="M7" s="22">
        <f t="shared" si="2"/>
        <v>0</v>
      </c>
      <c r="N7" s="22">
        <f t="shared" si="3"/>
        <v>0</v>
      </c>
      <c r="O7" s="22">
        <f t="shared" si="4"/>
        <v>0</v>
      </c>
      <c r="P7" s="22">
        <f t="shared" si="5"/>
        <v>0</v>
      </c>
      <c r="Q7" s="22">
        <f t="shared" si="6"/>
        <v>0</v>
      </c>
      <c r="R7" s="22">
        <f t="shared" si="7"/>
        <v>0</v>
      </c>
      <c r="S7" s="22">
        <f t="shared" si="8"/>
        <v>0</v>
      </c>
      <c r="T7" s="23" t="str">
        <f t="shared" si="9"/>
        <v>---</v>
      </c>
      <c r="U7" s="23" t="str">
        <f t="shared" si="9"/>
        <v>---</v>
      </c>
      <c r="V7" s="23" t="str">
        <f t="shared" si="9"/>
        <v>---</v>
      </c>
      <c r="W7" s="23" t="str">
        <f t="shared" si="9"/>
        <v>---</v>
      </c>
      <c r="X7" s="23" t="str">
        <f t="shared" si="9"/>
        <v>---</v>
      </c>
      <c r="Y7" s="23" t="str">
        <f t="shared" si="9"/>
        <v>---</v>
      </c>
      <c r="Z7" s="23" t="str">
        <f t="shared" si="9"/>
        <v>---</v>
      </c>
      <c r="AA7" s="23" t="str">
        <f t="shared" si="9"/>
        <v>---</v>
      </c>
      <c r="AB7" s="23" t="str">
        <f t="shared" si="9"/>
        <v>---</v>
      </c>
    </row>
    <row r="8" spans="1:28" ht="14.4" x14ac:dyDescent="0.3">
      <c r="A8" s="24" t="s">
        <v>9</v>
      </c>
      <c r="B8" s="22">
        <v>43.552999999999997</v>
      </c>
      <c r="C8" s="22">
        <v>53.607999999999997</v>
      </c>
      <c r="D8" s="22">
        <v>54.07</v>
      </c>
      <c r="E8" s="22">
        <v>39.939</v>
      </c>
      <c r="F8" s="22">
        <v>45.405000000000001</v>
      </c>
      <c r="G8" s="22">
        <v>46.259</v>
      </c>
      <c r="H8" s="22">
        <v>43.679000000000002</v>
      </c>
      <c r="I8" s="22">
        <v>49.436999999999998</v>
      </c>
      <c r="J8" s="22">
        <v>45.338000000000001</v>
      </c>
      <c r="K8" s="25">
        <f t="shared" si="0"/>
        <v>0.12282982683738507</v>
      </c>
      <c r="L8" s="25">
        <f t="shared" si="1"/>
        <v>0.14487317381646012</v>
      </c>
      <c r="M8" s="25">
        <f t="shared" si="2"/>
        <v>0.15053021044162396</v>
      </c>
      <c r="N8" s="25">
        <f t="shared" si="3"/>
        <v>9.6744891334890087E-2</v>
      </c>
      <c r="O8" s="25">
        <f t="shared" si="4"/>
        <v>0.11055111208502247</v>
      </c>
      <c r="P8" s="25">
        <f t="shared" si="5"/>
        <v>0.12989175453128729</v>
      </c>
      <c r="Q8" s="25">
        <f t="shared" si="6"/>
        <v>0.1249299255208393</v>
      </c>
      <c r="R8" s="25">
        <f t="shared" si="7"/>
        <v>0.14074831171493318</v>
      </c>
      <c r="S8" s="25">
        <f t="shared" si="8"/>
        <v>0.13129879758126173</v>
      </c>
      <c r="T8" s="23">
        <f t="shared" si="9"/>
        <v>0.81243471123712874</v>
      </c>
      <c r="U8" s="23">
        <f t="shared" si="9"/>
        <v>0.99145552062141662</v>
      </c>
      <c r="V8" s="23">
        <f t="shared" si="9"/>
        <v>1.3538145672150028</v>
      </c>
      <c r="W8" s="23">
        <f t="shared" si="9"/>
        <v>0.87961678229269902</v>
      </c>
      <c r="X8" s="23">
        <f t="shared" si="9"/>
        <v>0.98153872759895378</v>
      </c>
      <c r="Y8" s="23">
        <f t="shared" si="9"/>
        <v>1.059067286338973</v>
      </c>
      <c r="Z8" s="23">
        <f t="shared" si="9"/>
        <v>0.88352853126201036</v>
      </c>
      <c r="AA8" s="23">
        <f t="shared" si="9"/>
        <v>1.0904098107547753</v>
      </c>
      <c r="AB8" s="23">
        <f t="shared" si="9"/>
        <v>369.11230087479623</v>
      </c>
    </row>
    <row r="9" spans="1:28" ht="14.4" x14ac:dyDescent="0.3">
      <c r="A9" s="21" t="s">
        <v>10</v>
      </c>
      <c r="B9" s="22">
        <v>30.059000000000001</v>
      </c>
      <c r="C9" s="22">
        <v>36.508000000000003</v>
      </c>
      <c r="D9" s="22">
        <v>32.561999999999998</v>
      </c>
      <c r="E9" s="22">
        <v>26.091000000000001</v>
      </c>
      <c r="F9" s="22">
        <v>30.638000000000002</v>
      </c>
      <c r="G9" s="22">
        <v>34.665999999999997</v>
      </c>
      <c r="H9" s="22">
        <v>32.622</v>
      </c>
      <c r="I9" s="22">
        <v>31.216999999999999</v>
      </c>
      <c r="J9" s="22">
        <v>29.329000000000001</v>
      </c>
      <c r="K9" s="25">
        <f t="shared" si="0"/>
        <v>8.4773534886344412E-2</v>
      </c>
      <c r="L9" s="25">
        <f t="shared" si="1"/>
        <v>9.8661204105568681E-2</v>
      </c>
      <c r="M9" s="25">
        <f t="shared" si="2"/>
        <v>9.0652204778993134E-2</v>
      </c>
      <c r="N9" s="25">
        <f t="shared" si="3"/>
        <v>6.3200654994331792E-2</v>
      </c>
      <c r="O9" s="25">
        <f t="shared" si="4"/>
        <v>7.4596739831756825E-2</v>
      </c>
      <c r="P9" s="25">
        <f t="shared" si="5"/>
        <v>9.733949204655537E-2</v>
      </c>
      <c r="Q9" s="25">
        <f t="shared" si="6"/>
        <v>9.3304884048188361E-2</v>
      </c>
      <c r="R9" s="25">
        <f t="shared" si="7"/>
        <v>8.8875539510995194E-2</v>
      </c>
      <c r="S9" s="25">
        <f t="shared" si="8"/>
        <v>8.4936751384287482E-2</v>
      </c>
      <c r="T9" s="23">
        <f t="shared" si="9"/>
        <v>0.82335378547167737</v>
      </c>
      <c r="U9" s="23">
        <f t="shared" si="9"/>
        <v>1.1211842024445675</v>
      </c>
      <c r="V9" s="23">
        <f t="shared" si="9"/>
        <v>1.2480165574335977</v>
      </c>
      <c r="W9" s="23">
        <f t="shared" si="9"/>
        <v>0.85158952934264642</v>
      </c>
      <c r="X9" s="23">
        <f t="shared" si="9"/>
        <v>0.88380545779726549</v>
      </c>
      <c r="Y9" s="23">
        <f t="shared" si="9"/>
        <v>1.0626571025688185</v>
      </c>
      <c r="Z9" s="23">
        <f t="shared" si="9"/>
        <v>1.0450075279495148</v>
      </c>
      <c r="AA9" s="23">
        <f t="shared" si="9"/>
        <v>1.0643731460329366</v>
      </c>
      <c r="AB9" s="23">
        <f t="shared" si="9"/>
        <v>345.96882198343258</v>
      </c>
    </row>
    <row r="10" spans="1:28" ht="14.4" x14ac:dyDescent="0.3">
      <c r="A10" s="21" t="s">
        <v>11</v>
      </c>
      <c r="B10" s="22">
        <v>0</v>
      </c>
      <c r="C10" s="22">
        <v>0</v>
      </c>
      <c r="D10" s="22">
        <v>8.5280000000000005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1.24</v>
      </c>
      <c r="K10" s="25">
        <f t="shared" si="0"/>
        <v>0</v>
      </c>
      <c r="L10" s="25">
        <f t="shared" si="1"/>
        <v>0</v>
      </c>
      <c r="M10" s="25">
        <f t="shared" si="2"/>
        <v>2.3741846396267231E-2</v>
      </c>
      <c r="N10" s="25">
        <f t="shared" si="3"/>
        <v>0</v>
      </c>
      <c r="O10" s="25">
        <f t="shared" si="4"/>
        <v>0</v>
      </c>
      <c r="P10" s="25">
        <f t="shared" si="5"/>
        <v>0</v>
      </c>
      <c r="Q10" s="25">
        <f t="shared" si="6"/>
        <v>0</v>
      </c>
      <c r="R10" s="25">
        <f t="shared" si="7"/>
        <v>0</v>
      </c>
      <c r="S10" s="25">
        <f t="shared" si="8"/>
        <v>3.5910386210411698E-3</v>
      </c>
      <c r="T10" s="23" t="str">
        <f t="shared" si="9"/>
        <v>---</v>
      </c>
      <c r="U10" s="23">
        <f t="shared" si="9"/>
        <v>0</v>
      </c>
      <c r="V10" s="23" t="str">
        <f t="shared" si="9"/>
        <v>---</v>
      </c>
      <c r="W10" s="23" t="str">
        <f t="shared" si="9"/>
        <v>---</v>
      </c>
      <c r="X10" s="23" t="str">
        <f t="shared" si="9"/>
        <v>---</v>
      </c>
      <c r="Y10" s="23" t="str">
        <f t="shared" si="9"/>
        <v>---</v>
      </c>
      <c r="Z10" s="23" t="str">
        <f t="shared" si="9"/>
        <v>---</v>
      </c>
      <c r="AA10" s="23">
        <f t="shared" si="9"/>
        <v>0</v>
      </c>
      <c r="AB10" s="23" t="str">
        <f t="shared" si="9"/>
        <v>---</v>
      </c>
    </row>
    <row r="11" spans="1:28" ht="14.4" x14ac:dyDescent="0.3">
      <c r="A11" s="21" t="s">
        <v>12</v>
      </c>
      <c r="B11" s="22">
        <v>13.118</v>
      </c>
      <c r="C11" s="22">
        <v>16.681999999999999</v>
      </c>
      <c r="D11" s="22">
        <v>12.56</v>
      </c>
      <c r="E11" s="22">
        <v>13.331</v>
      </c>
      <c r="F11" s="22">
        <v>14.198</v>
      </c>
      <c r="G11" s="22">
        <v>11.131</v>
      </c>
      <c r="H11" s="22">
        <v>10.808</v>
      </c>
      <c r="I11" s="22">
        <v>17.734999999999999</v>
      </c>
      <c r="J11" s="22">
        <v>14.529</v>
      </c>
      <c r="K11" s="25">
        <f t="shared" si="0"/>
        <v>3.6995882452478993E-2</v>
      </c>
      <c r="L11" s="25">
        <f t="shared" si="1"/>
        <v>4.5082343784625195E-2</v>
      </c>
      <c r="M11" s="25">
        <f t="shared" si="2"/>
        <v>3.4966884467297892E-2</v>
      </c>
      <c r="N11" s="25">
        <f t="shared" si="3"/>
        <v>3.2291898805313593E-2</v>
      </c>
      <c r="O11" s="25">
        <f t="shared" si="4"/>
        <v>3.4568983358289812E-2</v>
      </c>
      <c r="P11" s="25">
        <f t="shared" si="5"/>
        <v>3.1255001614556278E-2</v>
      </c>
      <c r="Q11" s="25">
        <f t="shared" si="6"/>
        <v>3.0912855949752308E-2</v>
      </c>
      <c r="R11" s="25">
        <f t="shared" si="7"/>
        <v>5.04919656990582E-2</v>
      </c>
      <c r="S11" s="25">
        <f t="shared" si="8"/>
        <v>4.2075967842828355E-2</v>
      </c>
      <c r="T11" s="23">
        <f t="shared" si="9"/>
        <v>0.78635655197218568</v>
      </c>
      <c r="U11" s="23">
        <f t="shared" si="9"/>
        <v>1.328184713375796</v>
      </c>
      <c r="V11" s="23">
        <f t="shared" si="9"/>
        <v>0.94216487885379951</v>
      </c>
      <c r="W11" s="23">
        <f t="shared" si="9"/>
        <v>0.93893506127623605</v>
      </c>
      <c r="X11" s="23">
        <f t="shared" si="9"/>
        <v>1.2755367891474261</v>
      </c>
      <c r="Y11" s="23">
        <f t="shared" si="9"/>
        <v>1.0298852701702443</v>
      </c>
      <c r="Z11" s="23">
        <f t="shared" si="9"/>
        <v>0.60941640823230903</v>
      </c>
      <c r="AA11" s="23">
        <f t="shared" si="9"/>
        <v>1.2206621240278064</v>
      </c>
      <c r="AB11" s="23">
        <f t="shared" si="9"/>
        <v>392.71937947857901</v>
      </c>
    </row>
    <row r="12" spans="1:28" ht="14.4" x14ac:dyDescent="0.3">
      <c r="A12" s="21" t="s">
        <v>13</v>
      </c>
      <c r="B12" s="22">
        <v>376</v>
      </c>
      <c r="C12" s="22">
        <v>418</v>
      </c>
      <c r="D12" s="22">
        <v>420</v>
      </c>
      <c r="E12" s="22">
        <v>517</v>
      </c>
      <c r="F12" s="22">
        <v>569</v>
      </c>
      <c r="G12" s="22">
        <v>462</v>
      </c>
      <c r="H12" s="22">
        <v>249</v>
      </c>
      <c r="I12" s="22">
        <v>485</v>
      </c>
      <c r="J12" s="22">
        <v>240</v>
      </c>
      <c r="K12" s="25">
        <f t="shared" si="0"/>
        <v>1.0604094985616785</v>
      </c>
      <c r="L12" s="25">
        <f t="shared" si="1"/>
        <v>1.1296259262662349</v>
      </c>
      <c r="M12" s="25">
        <f t="shared" si="2"/>
        <v>1.1692747990656938</v>
      </c>
      <c r="N12" s="25">
        <f t="shared" si="3"/>
        <v>1.2523375352447024</v>
      </c>
      <c r="O12" s="25">
        <f t="shared" si="4"/>
        <v>1.3853888949758348</v>
      </c>
      <c r="P12" s="25">
        <f t="shared" si="5"/>
        <v>1.2972608701756356</v>
      </c>
      <c r="Q12" s="25">
        <f t="shared" si="6"/>
        <v>0.71218552289862369</v>
      </c>
      <c r="R12" s="25">
        <f t="shared" si="7"/>
        <v>1.3808065048797986</v>
      </c>
      <c r="S12" s="25">
        <f t="shared" si="8"/>
        <v>0.69503973310474254</v>
      </c>
      <c r="T12" s="23">
        <f t="shared" si="9"/>
        <v>0.8995215311004785</v>
      </c>
      <c r="U12" s="23">
        <f t="shared" si="9"/>
        <v>0.99523809523809526</v>
      </c>
      <c r="V12" s="23">
        <f t="shared" si="9"/>
        <v>0.81237911025145071</v>
      </c>
      <c r="W12" s="23">
        <f t="shared" si="9"/>
        <v>0.9086115992970123</v>
      </c>
      <c r="X12" s="23">
        <f t="shared" si="9"/>
        <v>1.2316017316017316</v>
      </c>
      <c r="Y12" s="23">
        <f t="shared" si="9"/>
        <v>1.8554216867469879</v>
      </c>
      <c r="Z12" s="23">
        <f t="shared" si="9"/>
        <v>0.51340206185567006</v>
      </c>
      <c r="AA12" s="23">
        <f t="shared" si="9"/>
        <v>2.0208333333333335</v>
      </c>
      <c r="AB12" s="23">
        <f t="shared" si="9"/>
        <v>226.3276595744681</v>
      </c>
    </row>
    <row r="13" spans="1:28" ht="14.4" x14ac:dyDescent="0.3">
      <c r="A13" s="26" t="s">
        <v>14</v>
      </c>
      <c r="B13" s="27">
        <v>44.109000000000002</v>
      </c>
      <c r="C13" s="27">
        <v>53.366</v>
      </c>
      <c r="D13" s="27">
        <v>36.075000000000003</v>
      </c>
      <c r="E13" s="27">
        <v>58.96</v>
      </c>
      <c r="F13" s="27">
        <v>52.164999999999999</v>
      </c>
      <c r="G13" s="27">
        <v>43.969000000000001</v>
      </c>
      <c r="H13" s="27">
        <v>42.500999999999998</v>
      </c>
      <c r="I13" s="27">
        <v>37.799999999999997</v>
      </c>
      <c r="J13" s="27">
        <v>37.415999999999997</v>
      </c>
      <c r="K13" s="28">
        <f t="shared" si="0"/>
        <v>0.12439787918100288</v>
      </c>
      <c r="L13" s="28">
        <f t="shared" si="1"/>
        <v>0.14421917985914809</v>
      </c>
      <c r="M13" s="28">
        <f t="shared" si="2"/>
        <v>0.10043235327689264</v>
      </c>
      <c r="N13" s="28">
        <f t="shared" si="3"/>
        <v>0.14281976997684268</v>
      </c>
      <c r="O13" s="28">
        <f t="shared" si="4"/>
        <v>0.12701021389528019</v>
      </c>
      <c r="P13" s="28">
        <f t="shared" si="5"/>
        <v>0.1234616086596375</v>
      </c>
      <c r="Q13" s="28">
        <f t="shared" si="6"/>
        <v>0.12156063015547953</v>
      </c>
      <c r="R13" s="28">
        <f t="shared" si="7"/>
        <v>0.10761749666898222</v>
      </c>
      <c r="S13" s="28">
        <f t="shared" si="8"/>
        <v>0.10835669439102935</v>
      </c>
      <c r="T13" s="23">
        <f t="shared" si="9"/>
        <v>0.8265374957838324</v>
      </c>
      <c r="U13" s="23">
        <f t="shared" si="9"/>
        <v>1.4793069993069992</v>
      </c>
      <c r="V13" s="23">
        <f t="shared" si="9"/>
        <v>0.61185549525101768</v>
      </c>
      <c r="W13" s="23">
        <f t="shared" si="9"/>
        <v>1.1302597527077543</v>
      </c>
      <c r="X13" s="23">
        <f t="shared" si="9"/>
        <v>1.1864040574040802</v>
      </c>
      <c r="Y13" s="23">
        <f t="shared" si="9"/>
        <v>1.034540363756147</v>
      </c>
      <c r="Z13" s="23">
        <f t="shared" si="9"/>
        <v>1.1243650793650795</v>
      </c>
      <c r="AA13" s="23">
        <f t="shared" si="9"/>
        <v>1.0102629890955741</v>
      </c>
      <c r="AB13" s="23">
        <f t="shared" si="9"/>
        <v>300.77683193906</v>
      </c>
    </row>
    <row r="14" spans="1:28" ht="14.4" x14ac:dyDescent="0.3">
      <c r="A14" s="21" t="s">
        <v>15</v>
      </c>
      <c r="B14" s="22">
        <v>6.9359999999999999</v>
      </c>
      <c r="C14" s="22">
        <v>3.9889999999999999</v>
      </c>
      <c r="D14" s="22">
        <v>3.4140000000000001</v>
      </c>
      <c r="E14" s="22">
        <v>16.603999999999999</v>
      </c>
      <c r="F14" s="22">
        <v>10.875999999999999</v>
      </c>
      <c r="G14" s="22">
        <v>5.9290000000000003</v>
      </c>
      <c r="H14" s="22">
        <v>4.5730000000000004</v>
      </c>
      <c r="I14" s="22">
        <v>6.125</v>
      </c>
      <c r="J14" s="22">
        <v>3.3660000000000001</v>
      </c>
      <c r="K14" s="25">
        <f t="shared" si="0"/>
        <v>1.9561170962829263E-2</v>
      </c>
      <c r="L14" s="25">
        <f t="shared" si="1"/>
        <v>1.0780090478172275E-2</v>
      </c>
      <c r="M14" s="25">
        <f t="shared" si="2"/>
        <v>9.504533723833997E-3</v>
      </c>
      <c r="N14" s="25">
        <f t="shared" si="3"/>
        <v>4.0220140106775701E-2</v>
      </c>
      <c r="O14" s="25">
        <f t="shared" si="4"/>
        <v>2.6480649598870264E-2</v>
      </c>
      <c r="P14" s="25">
        <f t="shared" si="5"/>
        <v>1.6648181167253993E-2</v>
      </c>
      <c r="Q14" s="25">
        <f t="shared" si="6"/>
        <v>1.3079616049057857E-2</v>
      </c>
      <c r="R14" s="25">
        <f t="shared" si="7"/>
        <v>1.7438020293585085E-2</v>
      </c>
      <c r="S14" s="25">
        <f t="shared" si="8"/>
        <v>9.747932256794014E-3</v>
      </c>
      <c r="T14" s="23">
        <f t="shared" si="9"/>
        <v>1.7387816495362247</v>
      </c>
      <c r="U14" s="23">
        <f t="shared" si="9"/>
        <v>1.1684241359109548</v>
      </c>
      <c r="V14" s="23">
        <f t="shared" si="9"/>
        <v>0.20561310527583718</v>
      </c>
      <c r="W14" s="23">
        <f t="shared" si="9"/>
        <v>1.5266642147848475</v>
      </c>
      <c r="X14" s="23">
        <f t="shared" si="9"/>
        <v>1.8343734187890031</v>
      </c>
      <c r="Y14" s="23">
        <f t="shared" si="9"/>
        <v>1.2965230701946207</v>
      </c>
      <c r="Z14" s="23">
        <f t="shared" si="9"/>
        <v>0.7466122448979593</v>
      </c>
      <c r="AA14" s="23">
        <f t="shared" si="9"/>
        <v>1.8196672608437314</v>
      </c>
      <c r="AB14" s="23">
        <f t="shared" si="9"/>
        <v>172.07558823529411</v>
      </c>
    </row>
    <row r="15" spans="1:28" ht="14.4" x14ac:dyDescent="0.3">
      <c r="A15" s="21" t="s">
        <v>16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f t="shared" si="0"/>
        <v>0</v>
      </c>
      <c r="L15" s="22">
        <f t="shared" si="1"/>
        <v>0</v>
      </c>
      <c r="M15" s="22">
        <f t="shared" si="2"/>
        <v>0</v>
      </c>
      <c r="N15" s="22">
        <f t="shared" si="3"/>
        <v>0</v>
      </c>
      <c r="O15" s="22">
        <f t="shared" si="4"/>
        <v>0</v>
      </c>
      <c r="P15" s="22">
        <f t="shared" si="5"/>
        <v>0</v>
      </c>
      <c r="Q15" s="22">
        <f t="shared" si="6"/>
        <v>0</v>
      </c>
      <c r="R15" s="22">
        <f t="shared" si="7"/>
        <v>0</v>
      </c>
      <c r="S15" s="22">
        <f t="shared" si="8"/>
        <v>0</v>
      </c>
      <c r="T15" s="23" t="str">
        <f t="shared" si="9"/>
        <v>---</v>
      </c>
      <c r="U15" s="23" t="str">
        <f t="shared" si="9"/>
        <v>---</v>
      </c>
      <c r="V15" s="23" t="str">
        <f t="shared" si="9"/>
        <v>---</v>
      </c>
      <c r="W15" s="23" t="str">
        <f t="shared" si="9"/>
        <v>---</v>
      </c>
      <c r="X15" s="23" t="str">
        <f t="shared" si="9"/>
        <v>---</v>
      </c>
      <c r="Y15" s="23" t="str">
        <f t="shared" si="9"/>
        <v>---</v>
      </c>
      <c r="Z15" s="23" t="str">
        <f t="shared" si="9"/>
        <v>---</v>
      </c>
      <c r="AA15" s="23" t="str">
        <f t="shared" si="9"/>
        <v>---</v>
      </c>
      <c r="AB15" s="23" t="str">
        <f t="shared" si="9"/>
        <v>---</v>
      </c>
    </row>
    <row r="16" spans="1:28" ht="14.4" x14ac:dyDescent="0.3">
      <c r="A16" s="21" t="s">
        <v>17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f t="shared" si="0"/>
        <v>0</v>
      </c>
      <c r="L16" s="22">
        <f t="shared" si="1"/>
        <v>0</v>
      </c>
      <c r="M16" s="22">
        <f t="shared" si="2"/>
        <v>0</v>
      </c>
      <c r="N16" s="22">
        <f t="shared" si="3"/>
        <v>0</v>
      </c>
      <c r="O16" s="22">
        <f t="shared" si="4"/>
        <v>0</v>
      </c>
      <c r="P16" s="22">
        <f t="shared" si="5"/>
        <v>0</v>
      </c>
      <c r="Q16" s="22">
        <f t="shared" si="6"/>
        <v>0</v>
      </c>
      <c r="R16" s="22">
        <f t="shared" si="7"/>
        <v>0</v>
      </c>
      <c r="S16" s="22">
        <f t="shared" si="8"/>
        <v>0</v>
      </c>
      <c r="T16" s="23" t="str">
        <f t="shared" si="9"/>
        <v>---</v>
      </c>
      <c r="U16" s="23" t="str">
        <f t="shared" si="9"/>
        <v>---</v>
      </c>
      <c r="V16" s="23" t="str">
        <f t="shared" si="9"/>
        <v>---</v>
      </c>
      <c r="W16" s="23" t="str">
        <f t="shared" si="9"/>
        <v>---</v>
      </c>
      <c r="X16" s="23" t="str">
        <f t="shared" si="9"/>
        <v>---</v>
      </c>
      <c r="Y16" s="23" t="str">
        <f t="shared" si="9"/>
        <v>---</v>
      </c>
      <c r="Z16" s="23" t="str">
        <f t="shared" si="9"/>
        <v>---</v>
      </c>
      <c r="AA16" s="23" t="str">
        <f t="shared" si="9"/>
        <v>---</v>
      </c>
      <c r="AB16" s="23" t="str">
        <f t="shared" si="9"/>
        <v>---</v>
      </c>
    </row>
    <row r="17" spans="1:28" ht="20.399999999999999" x14ac:dyDescent="0.3">
      <c r="A17" s="21" t="s">
        <v>18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f t="shared" si="0"/>
        <v>0</v>
      </c>
      <c r="L17" s="22">
        <f t="shared" si="1"/>
        <v>0</v>
      </c>
      <c r="M17" s="22">
        <f t="shared" si="2"/>
        <v>0</v>
      </c>
      <c r="N17" s="22">
        <f t="shared" si="3"/>
        <v>0</v>
      </c>
      <c r="O17" s="22">
        <f t="shared" si="4"/>
        <v>0</v>
      </c>
      <c r="P17" s="22">
        <f t="shared" si="5"/>
        <v>0</v>
      </c>
      <c r="Q17" s="22">
        <f t="shared" si="6"/>
        <v>0</v>
      </c>
      <c r="R17" s="22">
        <f t="shared" si="7"/>
        <v>0</v>
      </c>
      <c r="S17" s="22">
        <f t="shared" si="8"/>
        <v>0</v>
      </c>
      <c r="T17" s="23" t="str">
        <f t="shared" si="9"/>
        <v>---</v>
      </c>
      <c r="U17" s="23" t="str">
        <f t="shared" si="9"/>
        <v>---</v>
      </c>
      <c r="V17" s="23" t="str">
        <f t="shared" si="9"/>
        <v>---</v>
      </c>
      <c r="W17" s="23" t="str">
        <f t="shared" si="9"/>
        <v>---</v>
      </c>
      <c r="X17" s="23" t="str">
        <f t="shared" si="9"/>
        <v>---</v>
      </c>
      <c r="Y17" s="23" t="str">
        <f t="shared" si="9"/>
        <v>---</v>
      </c>
      <c r="Z17" s="23" t="str">
        <f t="shared" si="9"/>
        <v>---</v>
      </c>
      <c r="AA17" s="23" t="str">
        <f t="shared" si="9"/>
        <v>---</v>
      </c>
      <c r="AB17" s="23" t="str">
        <f t="shared" si="9"/>
        <v>---</v>
      </c>
    </row>
    <row r="18" spans="1:28" ht="40.799999999999997" x14ac:dyDescent="0.3">
      <c r="A18" s="21" t="s">
        <v>19</v>
      </c>
      <c r="B18" s="22">
        <v>112.99299999999999</v>
      </c>
      <c r="C18" s="22">
        <v>116.875</v>
      </c>
      <c r="D18" s="22">
        <v>109.69</v>
      </c>
      <c r="E18" s="22">
        <v>117.581</v>
      </c>
      <c r="F18" s="22">
        <v>109.17400000000001</v>
      </c>
      <c r="G18" s="22">
        <v>97.471999999999994</v>
      </c>
      <c r="H18" s="22">
        <v>92.581999999999994</v>
      </c>
      <c r="I18" s="22">
        <v>95.748999999999995</v>
      </c>
      <c r="J18" s="22">
        <v>89.272000000000006</v>
      </c>
      <c r="K18" s="25">
        <f t="shared" si="0"/>
        <v>0.31866715550792485</v>
      </c>
      <c r="L18" s="25">
        <f t="shared" si="1"/>
        <v>0.31584935438365125</v>
      </c>
      <c r="M18" s="25">
        <f t="shared" si="2"/>
        <v>0.30537560168932365</v>
      </c>
      <c r="N18" s="25">
        <f t="shared" si="3"/>
        <v>0.28481837472264482</v>
      </c>
      <c r="O18" s="25">
        <f t="shared" si="4"/>
        <v>0.26581449423566222</v>
      </c>
      <c r="P18" s="25">
        <f t="shared" si="5"/>
        <v>0.27369396436744492</v>
      </c>
      <c r="Q18" s="25">
        <f t="shared" si="6"/>
        <v>0.26480144610843526</v>
      </c>
      <c r="R18" s="25">
        <f t="shared" si="7"/>
        <v>0.27259967430048626</v>
      </c>
      <c r="S18" s="25">
        <f t="shared" si="8"/>
        <v>0.25853161272386077</v>
      </c>
      <c r="T18" s="23">
        <f t="shared" si="9"/>
        <v>0.96678502673796785</v>
      </c>
      <c r="U18" s="23">
        <f t="shared" si="9"/>
        <v>1.0655027805634061</v>
      </c>
      <c r="V18" s="23">
        <f t="shared" si="9"/>
        <v>0.93288881707078519</v>
      </c>
      <c r="W18" s="23">
        <f t="shared" si="9"/>
        <v>1.0770055141334016</v>
      </c>
      <c r="X18" s="23">
        <f t="shared" si="9"/>
        <v>1.1200549901510179</v>
      </c>
      <c r="Y18" s="23">
        <f t="shared" si="9"/>
        <v>1.0528180423840487</v>
      </c>
      <c r="Z18" s="23">
        <f t="shared" si="9"/>
        <v>0.96692393654241815</v>
      </c>
      <c r="AA18" s="23">
        <f t="shared" si="9"/>
        <v>1.0725535442243928</v>
      </c>
      <c r="AB18" s="23">
        <f t="shared" si="9"/>
        <v>280.14182967086458</v>
      </c>
    </row>
    <row r="19" spans="1:28" ht="30.6" x14ac:dyDescent="0.3">
      <c r="A19" s="21" t="s">
        <v>20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f t="shared" si="0"/>
        <v>0</v>
      </c>
      <c r="L19" s="22">
        <f t="shared" si="1"/>
        <v>0</v>
      </c>
      <c r="M19" s="22">
        <f t="shared" si="2"/>
        <v>0</v>
      </c>
      <c r="N19" s="22">
        <f t="shared" si="3"/>
        <v>0</v>
      </c>
      <c r="O19" s="22">
        <f t="shared" si="4"/>
        <v>0</v>
      </c>
      <c r="P19" s="22">
        <f t="shared" si="5"/>
        <v>0</v>
      </c>
      <c r="Q19" s="22">
        <f t="shared" si="6"/>
        <v>0</v>
      </c>
      <c r="R19" s="22">
        <f t="shared" si="7"/>
        <v>0</v>
      </c>
      <c r="S19" s="22">
        <f t="shared" si="8"/>
        <v>0</v>
      </c>
      <c r="T19" s="23" t="str">
        <f t="shared" si="9"/>
        <v>---</v>
      </c>
      <c r="U19" s="23" t="str">
        <f t="shared" si="9"/>
        <v>---</v>
      </c>
      <c r="V19" s="23" t="str">
        <f t="shared" si="9"/>
        <v>---</v>
      </c>
      <c r="W19" s="23" t="str">
        <f t="shared" si="9"/>
        <v>---</v>
      </c>
      <c r="X19" s="23" t="str">
        <f t="shared" si="9"/>
        <v>---</v>
      </c>
      <c r="Y19" s="23" t="str">
        <f t="shared" si="9"/>
        <v>---</v>
      </c>
      <c r="Z19" s="23" t="str">
        <f t="shared" si="9"/>
        <v>---</v>
      </c>
      <c r="AA19" s="23" t="str">
        <f t="shared" si="9"/>
        <v>---</v>
      </c>
      <c r="AB19" s="23" t="str">
        <f t="shared" si="9"/>
        <v>---</v>
      </c>
    </row>
    <row r="20" spans="1:28" ht="14.4" x14ac:dyDescent="0.3">
      <c r="A20" s="29" t="s">
        <v>21</v>
      </c>
      <c r="B20" s="30">
        <v>112.99299999999999</v>
      </c>
      <c r="C20" s="30">
        <v>116.875</v>
      </c>
      <c r="D20" s="30">
        <v>109.69</v>
      </c>
      <c r="E20" s="30">
        <v>117.581</v>
      </c>
      <c r="F20" s="30">
        <v>109.17400000000001</v>
      </c>
      <c r="G20" s="30">
        <v>97.471999999999994</v>
      </c>
      <c r="H20" s="30">
        <v>92.581999999999994</v>
      </c>
      <c r="I20" s="30">
        <v>95.748999999999995</v>
      </c>
      <c r="J20" s="30">
        <v>89.272000000000006</v>
      </c>
      <c r="K20" s="31">
        <f t="shared" si="0"/>
        <v>0.31866715550792485</v>
      </c>
      <c r="L20" s="31">
        <f t="shared" si="1"/>
        <v>0.31584935438365125</v>
      </c>
      <c r="M20" s="31">
        <f t="shared" si="2"/>
        <v>0.30537560168932365</v>
      </c>
      <c r="N20" s="31">
        <f t="shared" si="3"/>
        <v>0.28481837472264482</v>
      </c>
      <c r="O20" s="31">
        <f t="shared" si="4"/>
        <v>0.26581449423566222</v>
      </c>
      <c r="P20" s="31">
        <f t="shared" si="5"/>
        <v>0.27369396436744492</v>
      </c>
      <c r="Q20" s="31">
        <f t="shared" si="6"/>
        <v>0.26480144610843526</v>
      </c>
      <c r="R20" s="31">
        <f t="shared" si="7"/>
        <v>0.27259967430048626</v>
      </c>
      <c r="S20" s="31">
        <f t="shared" si="8"/>
        <v>0.25853161272386077</v>
      </c>
      <c r="T20" s="23">
        <f t="shared" si="9"/>
        <v>0.96678502673796785</v>
      </c>
      <c r="U20" s="23">
        <f t="shared" si="9"/>
        <v>1.0655027805634061</v>
      </c>
      <c r="V20" s="23">
        <f t="shared" si="9"/>
        <v>0.93288881707078519</v>
      </c>
      <c r="W20" s="23">
        <f t="shared" si="9"/>
        <v>1.0770055141334016</v>
      </c>
      <c r="X20" s="23">
        <f t="shared" si="9"/>
        <v>1.1200549901510179</v>
      </c>
      <c r="Y20" s="23">
        <f t="shared" si="9"/>
        <v>1.0528180423840487</v>
      </c>
      <c r="Z20" s="23">
        <f t="shared" si="9"/>
        <v>0.96692393654241815</v>
      </c>
      <c r="AA20" s="23">
        <f t="shared" si="9"/>
        <v>1.0725535442243928</v>
      </c>
      <c r="AB20" s="23">
        <f t="shared" si="9"/>
        <v>280.14182967086458</v>
      </c>
    </row>
    <row r="21" spans="1:28" ht="15.75" customHeight="1" x14ac:dyDescent="0.3">
      <c r="A21" s="32" t="s">
        <v>22</v>
      </c>
      <c r="B21" s="33"/>
      <c r="C21" s="33"/>
      <c r="D21" s="33"/>
      <c r="E21" s="33"/>
      <c r="F21" s="33"/>
      <c r="G21" s="33"/>
      <c r="H21" s="33"/>
      <c r="I21" s="33"/>
      <c r="J21" s="34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.75" customHeight="1" x14ac:dyDescent="0.3">
      <c r="A22" s="21" t="s">
        <v>8</v>
      </c>
      <c r="B22" s="22">
        <v>824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5">
        <f t="shared" ref="K22:K40" si="10">B22/$B$40</f>
        <v>2.3238761351458064</v>
      </c>
      <c r="L22" s="22">
        <f t="shared" ref="L22:L40" si="11">C22/$C$40</f>
        <v>0</v>
      </c>
      <c r="M22" s="22">
        <f t="shared" ref="M22:M40" si="12">D22/$D$40</f>
        <v>0</v>
      </c>
      <c r="N22" s="22">
        <f t="shared" ref="N22:N40" si="13">E22/$E$40</f>
        <v>0</v>
      </c>
      <c r="O22" s="22">
        <f t="shared" ref="O22:O40" si="14">F22/$F$40</f>
        <v>0</v>
      </c>
      <c r="P22" s="22">
        <f t="shared" ref="P22:P40" si="15">G22/$G$40</f>
        <v>0</v>
      </c>
      <c r="Q22" s="22">
        <f t="shared" ref="Q22:Q40" si="16">H22/$H$40</f>
        <v>0</v>
      </c>
      <c r="R22" s="22">
        <f t="shared" ref="R22:R40" si="17">I22/$I$40</f>
        <v>0</v>
      </c>
      <c r="S22" s="22">
        <f t="shared" ref="S22:S40" si="18">J22/$J$40</f>
        <v>0</v>
      </c>
      <c r="T22" s="23" t="str">
        <f t="shared" ref="T22:AB37" si="19">IF(C22=0,"---",B22/C22)</f>
        <v>---</v>
      </c>
      <c r="U22" s="23" t="str">
        <f t="shared" si="19"/>
        <v>---</v>
      </c>
      <c r="V22" s="23" t="str">
        <f t="shared" si="19"/>
        <v>---</v>
      </c>
      <c r="W22" s="23" t="str">
        <f t="shared" si="19"/>
        <v>---</v>
      </c>
      <c r="X22" s="23" t="str">
        <f t="shared" si="19"/>
        <v>---</v>
      </c>
      <c r="Y22" s="23" t="str">
        <f t="shared" si="19"/>
        <v>---</v>
      </c>
      <c r="Z22" s="23" t="str">
        <f t="shared" si="19"/>
        <v>---</v>
      </c>
      <c r="AA22" s="23" t="str">
        <f t="shared" si="19"/>
        <v>---</v>
      </c>
      <c r="AB22" s="23">
        <f t="shared" si="19"/>
        <v>0</v>
      </c>
    </row>
    <row r="23" spans="1:28" ht="15.75" customHeight="1" x14ac:dyDescent="0.3">
      <c r="A23" s="21" t="s">
        <v>23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16.95</v>
      </c>
      <c r="K23" s="22">
        <f t="shared" si="10"/>
        <v>0</v>
      </c>
      <c r="L23" s="22">
        <f t="shared" si="11"/>
        <v>0</v>
      </c>
      <c r="M23" s="22">
        <f t="shared" si="12"/>
        <v>0</v>
      </c>
      <c r="N23" s="22">
        <f t="shared" si="13"/>
        <v>0</v>
      </c>
      <c r="O23" s="22">
        <f t="shared" si="14"/>
        <v>0</v>
      </c>
      <c r="P23" s="22">
        <f t="shared" si="15"/>
        <v>0</v>
      </c>
      <c r="Q23" s="22">
        <f t="shared" si="16"/>
        <v>0</v>
      </c>
      <c r="R23" s="22">
        <f t="shared" si="17"/>
        <v>0</v>
      </c>
      <c r="S23" s="25">
        <f t="shared" si="18"/>
        <v>4.9087181150522442E-2</v>
      </c>
      <c r="T23" s="23" t="str">
        <f t="shared" si="19"/>
        <v>---</v>
      </c>
      <c r="U23" s="23" t="str">
        <f t="shared" si="19"/>
        <v>---</v>
      </c>
      <c r="V23" s="23" t="str">
        <f t="shared" si="19"/>
        <v>---</v>
      </c>
      <c r="W23" s="23" t="str">
        <f t="shared" si="19"/>
        <v>---</v>
      </c>
      <c r="X23" s="23" t="str">
        <f t="shared" si="19"/>
        <v>---</v>
      </c>
      <c r="Y23" s="23" t="str">
        <f t="shared" si="19"/>
        <v>---</v>
      </c>
      <c r="Z23" s="23" t="str">
        <f t="shared" si="19"/>
        <v>---</v>
      </c>
      <c r="AA23" s="23">
        <f t="shared" si="19"/>
        <v>0</v>
      </c>
      <c r="AB23" s="23" t="str">
        <f t="shared" si="19"/>
        <v>---</v>
      </c>
    </row>
    <row r="24" spans="1:28" ht="15.75" customHeight="1" x14ac:dyDescent="0.3">
      <c r="A24" s="21" t="s">
        <v>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4.4039999999999999</v>
      </c>
      <c r="K24" s="22">
        <f t="shared" si="10"/>
        <v>0</v>
      </c>
      <c r="L24" s="22">
        <f t="shared" si="11"/>
        <v>0</v>
      </c>
      <c r="M24" s="22">
        <f t="shared" si="12"/>
        <v>0</v>
      </c>
      <c r="N24" s="22">
        <f t="shared" si="13"/>
        <v>0</v>
      </c>
      <c r="O24" s="22">
        <f t="shared" si="14"/>
        <v>0</v>
      </c>
      <c r="P24" s="22">
        <f t="shared" si="15"/>
        <v>0</v>
      </c>
      <c r="Q24" s="22">
        <f t="shared" si="16"/>
        <v>0</v>
      </c>
      <c r="R24" s="22">
        <f t="shared" si="17"/>
        <v>0</v>
      </c>
      <c r="S24" s="25">
        <f t="shared" si="18"/>
        <v>1.2753979102472026E-2</v>
      </c>
      <c r="T24" s="23" t="str">
        <f t="shared" si="19"/>
        <v>---</v>
      </c>
      <c r="U24" s="23" t="str">
        <f t="shared" si="19"/>
        <v>---</v>
      </c>
      <c r="V24" s="23" t="str">
        <f t="shared" si="19"/>
        <v>---</v>
      </c>
      <c r="W24" s="23" t="str">
        <f t="shared" si="19"/>
        <v>---</v>
      </c>
      <c r="X24" s="23" t="str">
        <f t="shared" si="19"/>
        <v>---</v>
      </c>
      <c r="Y24" s="23" t="str">
        <f t="shared" si="19"/>
        <v>---</v>
      </c>
      <c r="Z24" s="23" t="str">
        <f t="shared" si="19"/>
        <v>---</v>
      </c>
      <c r="AA24" s="23">
        <f t="shared" si="19"/>
        <v>0</v>
      </c>
      <c r="AB24" s="23" t="str">
        <f t="shared" si="19"/>
        <v>---</v>
      </c>
    </row>
    <row r="25" spans="1:28" ht="15.75" customHeight="1" x14ac:dyDescent="0.3">
      <c r="A25" s="21" t="s">
        <v>10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f t="shared" si="10"/>
        <v>0</v>
      </c>
      <c r="L25" s="22">
        <f t="shared" si="11"/>
        <v>0</v>
      </c>
      <c r="M25" s="22">
        <f t="shared" si="12"/>
        <v>0</v>
      </c>
      <c r="N25" s="22">
        <f t="shared" si="13"/>
        <v>0</v>
      </c>
      <c r="O25" s="22">
        <f t="shared" si="14"/>
        <v>0</v>
      </c>
      <c r="P25" s="22">
        <f t="shared" si="15"/>
        <v>0</v>
      </c>
      <c r="Q25" s="22">
        <f t="shared" si="16"/>
        <v>0</v>
      </c>
      <c r="R25" s="22">
        <f t="shared" si="17"/>
        <v>0</v>
      </c>
      <c r="S25" s="22">
        <f t="shared" si="18"/>
        <v>0</v>
      </c>
      <c r="T25" s="23" t="str">
        <f t="shared" si="19"/>
        <v>---</v>
      </c>
      <c r="U25" s="23" t="str">
        <f t="shared" si="19"/>
        <v>---</v>
      </c>
      <c r="V25" s="23" t="str">
        <f t="shared" si="19"/>
        <v>---</v>
      </c>
      <c r="W25" s="23" t="str">
        <f t="shared" si="19"/>
        <v>---</v>
      </c>
      <c r="X25" s="23" t="str">
        <f t="shared" si="19"/>
        <v>---</v>
      </c>
      <c r="Y25" s="23" t="str">
        <f t="shared" si="19"/>
        <v>---</v>
      </c>
      <c r="Z25" s="23" t="str">
        <f t="shared" si="19"/>
        <v>---</v>
      </c>
      <c r="AA25" s="23" t="str">
        <f t="shared" si="19"/>
        <v>---</v>
      </c>
      <c r="AB25" s="23" t="str">
        <f t="shared" si="19"/>
        <v>---</v>
      </c>
    </row>
    <row r="26" spans="1:28" ht="15.75" customHeight="1" x14ac:dyDescent="0.3">
      <c r="A26" s="21" t="s">
        <v>11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4.4039999999999999</v>
      </c>
      <c r="K26" s="22">
        <f t="shared" si="10"/>
        <v>0</v>
      </c>
      <c r="L26" s="22">
        <f t="shared" si="11"/>
        <v>0</v>
      </c>
      <c r="M26" s="22">
        <f t="shared" si="12"/>
        <v>0</v>
      </c>
      <c r="N26" s="22">
        <f t="shared" si="13"/>
        <v>0</v>
      </c>
      <c r="O26" s="22">
        <f t="shared" si="14"/>
        <v>0</v>
      </c>
      <c r="P26" s="22">
        <f t="shared" si="15"/>
        <v>0</v>
      </c>
      <c r="Q26" s="22">
        <f t="shared" si="16"/>
        <v>0</v>
      </c>
      <c r="R26" s="22">
        <f t="shared" si="17"/>
        <v>0</v>
      </c>
      <c r="S26" s="25">
        <f t="shared" si="18"/>
        <v>1.2753979102472026E-2</v>
      </c>
      <c r="T26" s="23" t="str">
        <f t="shared" si="19"/>
        <v>---</v>
      </c>
      <c r="U26" s="23" t="str">
        <f t="shared" si="19"/>
        <v>---</v>
      </c>
      <c r="V26" s="23" t="str">
        <f t="shared" si="19"/>
        <v>---</v>
      </c>
      <c r="W26" s="23" t="str">
        <f t="shared" si="19"/>
        <v>---</v>
      </c>
      <c r="X26" s="23" t="str">
        <f t="shared" si="19"/>
        <v>---</v>
      </c>
      <c r="Y26" s="23" t="str">
        <f t="shared" si="19"/>
        <v>---</v>
      </c>
      <c r="Z26" s="23" t="str">
        <f t="shared" si="19"/>
        <v>---</v>
      </c>
      <c r="AA26" s="23">
        <f t="shared" si="19"/>
        <v>0</v>
      </c>
      <c r="AB26" s="23" t="str">
        <f t="shared" si="19"/>
        <v>---</v>
      </c>
    </row>
    <row r="27" spans="1:28" ht="15.75" customHeight="1" x14ac:dyDescent="0.3">
      <c r="A27" s="21" t="s">
        <v>12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f t="shared" si="10"/>
        <v>0</v>
      </c>
      <c r="L27" s="22">
        <f t="shared" si="11"/>
        <v>0</v>
      </c>
      <c r="M27" s="22">
        <f t="shared" si="12"/>
        <v>0</v>
      </c>
      <c r="N27" s="22">
        <f t="shared" si="13"/>
        <v>0</v>
      </c>
      <c r="O27" s="22">
        <f t="shared" si="14"/>
        <v>0</v>
      </c>
      <c r="P27" s="22">
        <f t="shared" si="15"/>
        <v>0</v>
      </c>
      <c r="Q27" s="22">
        <f t="shared" si="16"/>
        <v>0</v>
      </c>
      <c r="R27" s="22">
        <f t="shared" si="17"/>
        <v>0</v>
      </c>
      <c r="S27" s="22">
        <f t="shared" si="18"/>
        <v>0</v>
      </c>
      <c r="T27" s="23" t="str">
        <f t="shared" si="19"/>
        <v>---</v>
      </c>
      <c r="U27" s="23" t="str">
        <f t="shared" si="19"/>
        <v>---</v>
      </c>
      <c r="V27" s="23" t="str">
        <f t="shared" si="19"/>
        <v>---</v>
      </c>
      <c r="W27" s="23" t="str">
        <f t="shared" si="19"/>
        <v>---</v>
      </c>
      <c r="X27" s="23" t="str">
        <f t="shared" si="19"/>
        <v>---</v>
      </c>
      <c r="Y27" s="23" t="str">
        <f t="shared" si="19"/>
        <v>---</v>
      </c>
      <c r="Z27" s="23" t="str">
        <f t="shared" si="19"/>
        <v>---</v>
      </c>
      <c r="AA27" s="23" t="str">
        <f t="shared" si="19"/>
        <v>---</v>
      </c>
      <c r="AB27" s="23" t="str">
        <f t="shared" si="19"/>
        <v>---</v>
      </c>
    </row>
    <row r="28" spans="1:28" ht="15.75" customHeight="1" x14ac:dyDescent="0.3">
      <c r="A28" s="21" t="s">
        <v>13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f t="shared" si="10"/>
        <v>0</v>
      </c>
      <c r="L28" s="22">
        <f t="shared" si="11"/>
        <v>0</v>
      </c>
      <c r="M28" s="22">
        <f t="shared" si="12"/>
        <v>0</v>
      </c>
      <c r="N28" s="22">
        <f t="shared" si="13"/>
        <v>0</v>
      </c>
      <c r="O28" s="22">
        <f t="shared" si="14"/>
        <v>0</v>
      </c>
      <c r="P28" s="22">
        <f t="shared" si="15"/>
        <v>0</v>
      </c>
      <c r="Q28" s="22">
        <f t="shared" si="16"/>
        <v>0</v>
      </c>
      <c r="R28" s="22">
        <f t="shared" si="17"/>
        <v>0</v>
      </c>
      <c r="S28" s="22">
        <f t="shared" si="18"/>
        <v>0</v>
      </c>
      <c r="T28" s="23" t="str">
        <f t="shared" si="19"/>
        <v>---</v>
      </c>
      <c r="U28" s="23" t="str">
        <f t="shared" si="19"/>
        <v>---</v>
      </c>
      <c r="V28" s="23" t="str">
        <f t="shared" si="19"/>
        <v>---</v>
      </c>
      <c r="W28" s="23" t="str">
        <f t="shared" si="19"/>
        <v>---</v>
      </c>
      <c r="X28" s="23" t="str">
        <f t="shared" si="19"/>
        <v>---</v>
      </c>
      <c r="Y28" s="23" t="str">
        <f t="shared" si="19"/>
        <v>---</v>
      </c>
      <c r="Z28" s="23" t="str">
        <f t="shared" si="19"/>
        <v>---</v>
      </c>
      <c r="AA28" s="23" t="str">
        <f t="shared" si="19"/>
        <v>---</v>
      </c>
      <c r="AB28" s="23" t="str">
        <f t="shared" si="19"/>
        <v>---</v>
      </c>
    </row>
    <row r="29" spans="1:28" ht="15.75" customHeight="1" x14ac:dyDescent="0.3">
      <c r="A29" s="21" t="s">
        <v>14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f t="shared" si="10"/>
        <v>0</v>
      </c>
      <c r="L29" s="22">
        <f t="shared" si="11"/>
        <v>0</v>
      </c>
      <c r="M29" s="22">
        <f t="shared" si="12"/>
        <v>0</v>
      </c>
      <c r="N29" s="22">
        <f t="shared" si="13"/>
        <v>0</v>
      </c>
      <c r="O29" s="22">
        <f t="shared" si="14"/>
        <v>0</v>
      </c>
      <c r="P29" s="22">
        <f t="shared" si="15"/>
        <v>0</v>
      </c>
      <c r="Q29" s="22">
        <f t="shared" si="16"/>
        <v>0</v>
      </c>
      <c r="R29" s="22">
        <f t="shared" si="17"/>
        <v>0</v>
      </c>
      <c r="S29" s="22">
        <f t="shared" si="18"/>
        <v>0</v>
      </c>
      <c r="T29" s="23" t="str">
        <f t="shared" si="19"/>
        <v>---</v>
      </c>
      <c r="U29" s="23" t="str">
        <f t="shared" si="19"/>
        <v>---</v>
      </c>
      <c r="V29" s="23" t="str">
        <f t="shared" si="19"/>
        <v>---</v>
      </c>
      <c r="W29" s="23" t="str">
        <f t="shared" si="19"/>
        <v>---</v>
      </c>
      <c r="X29" s="23" t="str">
        <f t="shared" si="19"/>
        <v>---</v>
      </c>
      <c r="Y29" s="23" t="str">
        <f t="shared" si="19"/>
        <v>---</v>
      </c>
      <c r="Z29" s="23" t="str">
        <f t="shared" si="19"/>
        <v>---</v>
      </c>
      <c r="AA29" s="23" t="str">
        <f t="shared" si="19"/>
        <v>---</v>
      </c>
      <c r="AB29" s="23" t="str">
        <f t="shared" si="19"/>
        <v>---</v>
      </c>
    </row>
    <row r="30" spans="1:28" ht="15.75" customHeight="1" x14ac:dyDescent="0.3">
      <c r="A30" s="21" t="s">
        <v>15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f t="shared" si="10"/>
        <v>0</v>
      </c>
      <c r="L30" s="22">
        <f t="shared" si="11"/>
        <v>0</v>
      </c>
      <c r="M30" s="22">
        <f t="shared" si="12"/>
        <v>0</v>
      </c>
      <c r="N30" s="22">
        <f t="shared" si="13"/>
        <v>0</v>
      </c>
      <c r="O30" s="22">
        <f t="shared" si="14"/>
        <v>0</v>
      </c>
      <c r="P30" s="22">
        <f t="shared" si="15"/>
        <v>0</v>
      </c>
      <c r="Q30" s="22">
        <f t="shared" si="16"/>
        <v>0</v>
      </c>
      <c r="R30" s="22">
        <f t="shared" si="17"/>
        <v>0</v>
      </c>
      <c r="S30" s="22">
        <f t="shared" si="18"/>
        <v>0</v>
      </c>
      <c r="T30" s="23" t="str">
        <f t="shared" si="19"/>
        <v>---</v>
      </c>
      <c r="U30" s="23" t="str">
        <f t="shared" si="19"/>
        <v>---</v>
      </c>
      <c r="V30" s="23" t="str">
        <f t="shared" si="19"/>
        <v>---</v>
      </c>
      <c r="W30" s="23" t="str">
        <f t="shared" si="19"/>
        <v>---</v>
      </c>
      <c r="X30" s="23" t="str">
        <f t="shared" si="19"/>
        <v>---</v>
      </c>
      <c r="Y30" s="23" t="str">
        <f t="shared" si="19"/>
        <v>---</v>
      </c>
      <c r="Z30" s="23" t="str">
        <f t="shared" si="19"/>
        <v>---</v>
      </c>
      <c r="AA30" s="23" t="str">
        <f t="shared" si="19"/>
        <v>---</v>
      </c>
      <c r="AB30" s="23" t="str">
        <f t="shared" si="19"/>
        <v>---</v>
      </c>
    </row>
    <row r="31" spans="1:28" ht="15.75" customHeight="1" x14ac:dyDescent="0.3">
      <c r="A31" s="21" t="s">
        <v>24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f t="shared" si="10"/>
        <v>0</v>
      </c>
      <c r="L31" s="22">
        <f t="shared" si="11"/>
        <v>0</v>
      </c>
      <c r="M31" s="22">
        <f t="shared" si="12"/>
        <v>0</v>
      </c>
      <c r="N31" s="22">
        <f t="shared" si="13"/>
        <v>0</v>
      </c>
      <c r="O31" s="22">
        <f t="shared" si="14"/>
        <v>0</v>
      </c>
      <c r="P31" s="22">
        <f t="shared" si="15"/>
        <v>0</v>
      </c>
      <c r="Q31" s="22">
        <f t="shared" si="16"/>
        <v>0</v>
      </c>
      <c r="R31" s="22">
        <f t="shared" si="17"/>
        <v>0</v>
      </c>
      <c r="S31" s="22">
        <f t="shared" si="18"/>
        <v>0</v>
      </c>
      <c r="T31" s="23" t="str">
        <f t="shared" si="19"/>
        <v>---</v>
      </c>
      <c r="U31" s="23" t="str">
        <f t="shared" si="19"/>
        <v>---</v>
      </c>
      <c r="V31" s="23" t="str">
        <f t="shared" si="19"/>
        <v>---</v>
      </c>
      <c r="W31" s="23" t="str">
        <f t="shared" si="19"/>
        <v>---</v>
      </c>
      <c r="X31" s="23" t="str">
        <f t="shared" si="19"/>
        <v>---</v>
      </c>
      <c r="Y31" s="23" t="str">
        <f t="shared" si="19"/>
        <v>---</v>
      </c>
      <c r="Z31" s="23" t="str">
        <f t="shared" si="19"/>
        <v>---</v>
      </c>
      <c r="AA31" s="23" t="str">
        <f t="shared" si="19"/>
        <v>---</v>
      </c>
      <c r="AB31" s="23" t="str">
        <f t="shared" si="19"/>
        <v>---</v>
      </c>
    </row>
    <row r="32" spans="1:28" ht="15.75" customHeight="1" x14ac:dyDescent="0.3">
      <c r="A32" s="21" t="s">
        <v>25</v>
      </c>
      <c r="B32" s="22">
        <v>240.67</v>
      </c>
      <c r="C32" s="22">
        <v>253.03200000000001</v>
      </c>
      <c r="D32" s="22">
        <v>249.345</v>
      </c>
      <c r="E32" s="22">
        <v>295.23700000000002</v>
      </c>
      <c r="F32" s="22">
        <v>301.39999999999998</v>
      </c>
      <c r="G32" s="22">
        <v>258.38400000000001</v>
      </c>
      <c r="H32" s="22">
        <v>256.62700000000001</v>
      </c>
      <c r="I32" s="22">
        <v>254.93899999999999</v>
      </c>
      <c r="J32" s="22">
        <v>234.018</v>
      </c>
      <c r="K32" s="25">
        <f t="shared" si="10"/>
        <v>0.67874668622031697</v>
      </c>
      <c r="L32" s="25">
        <f t="shared" si="11"/>
        <v>0.68380743391147847</v>
      </c>
      <c r="M32" s="25">
        <f t="shared" si="12"/>
        <v>0.69417339231675101</v>
      </c>
      <c r="N32" s="25">
        <f t="shared" si="13"/>
        <v>0.71515740211419776</v>
      </c>
      <c r="O32" s="25">
        <f t="shared" si="14"/>
        <v>0.73384220201356165</v>
      </c>
      <c r="P32" s="25">
        <f t="shared" si="15"/>
        <v>0.72552262484731922</v>
      </c>
      <c r="Q32" s="25">
        <f t="shared" si="16"/>
        <v>0.73400013728877556</v>
      </c>
      <c r="R32" s="25">
        <f t="shared" si="17"/>
        <v>0.72581738051041433</v>
      </c>
      <c r="S32" s="25">
        <f t="shared" si="18"/>
        <v>0.67771586775710679</v>
      </c>
      <c r="T32" s="23">
        <f t="shared" si="19"/>
        <v>0.95114451927028987</v>
      </c>
      <c r="U32" s="23">
        <f t="shared" si="19"/>
        <v>1.0147867412621068</v>
      </c>
      <c r="V32" s="23">
        <f t="shared" si="19"/>
        <v>0.84455877820191905</v>
      </c>
      <c r="W32" s="23">
        <f t="shared" si="19"/>
        <v>0.97955209024552103</v>
      </c>
      <c r="X32" s="23">
        <f t="shared" si="19"/>
        <v>1.1664808966499471</v>
      </c>
      <c r="Y32" s="23">
        <f t="shared" si="19"/>
        <v>1.006846512642863</v>
      </c>
      <c r="Z32" s="23">
        <f t="shared" si="19"/>
        <v>1.0066211917360623</v>
      </c>
      <c r="AA32" s="23">
        <f t="shared" si="19"/>
        <v>1.0893991060516712</v>
      </c>
      <c r="AB32" s="23">
        <f t="shared" si="19"/>
        <v>344.77958382847885</v>
      </c>
    </row>
    <row r="33" spans="1:28" ht="15.75" customHeight="1" x14ac:dyDescent="0.3">
      <c r="A33" s="21" t="s">
        <v>26</v>
      </c>
      <c r="B33" s="22">
        <v>93</v>
      </c>
      <c r="C33" s="22">
        <v>127</v>
      </c>
      <c r="D33" s="22">
        <v>162</v>
      </c>
      <c r="E33" s="22">
        <v>10</v>
      </c>
      <c r="F33" s="22">
        <v>141</v>
      </c>
      <c r="G33" s="22">
        <v>279</v>
      </c>
      <c r="H33" s="22">
        <v>419</v>
      </c>
      <c r="I33" s="22">
        <v>556</v>
      </c>
      <c r="J33" s="22">
        <v>660</v>
      </c>
      <c r="K33" s="25">
        <f t="shared" si="10"/>
        <v>0.26228213661233007</v>
      </c>
      <c r="L33" s="25">
        <f t="shared" si="11"/>
        <v>0.34321170487036329</v>
      </c>
      <c r="M33" s="25">
        <f t="shared" si="12"/>
        <v>0.45100599392533902</v>
      </c>
      <c r="N33" s="25">
        <f t="shared" si="13"/>
        <v>2.4223163157537766E-2</v>
      </c>
      <c r="O33" s="25">
        <f t="shared" si="14"/>
        <v>0.3433037507760856</v>
      </c>
      <c r="P33" s="25">
        <f t="shared" si="15"/>
        <v>0.78341078523593588</v>
      </c>
      <c r="Q33" s="25">
        <f t="shared" si="16"/>
        <v>1.1984166027892504</v>
      </c>
      <c r="R33" s="25">
        <f t="shared" si="17"/>
        <v>1.5829451890993154</v>
      </c>
      <c r="S33" s="25">
        <f t="shared" si="18"/>
        <v>1.9113592660380421</v>
      </c>
      <c r="T33" s="23">
        <f t="shared" si="19"/>
        <v>0.73228346456692917</v>
      </c>
      <c r="U33" s="23">
        <f t="shared" si="19"/>
        <v>0.78395061728395066</v>
      </c>
      <c r="V33" s="23">
        <f t="shared" si="19"/>
        <v>16.2</v>
      </c>
      <c r="W33" s="23">
        <f t="shared" si="19"/>
        <v>7.0921985815602842E-2</v>
      </c>
      <c r="X33" s="23">
        <f t="shared" si="19"/>
        <v>0.5053763440860215</v>
      </c>
      <c r="Y33" s="23">
        <f t="shared" si="19"/>
        <v>0.66587112171837703</v>
      </c>
      <c r="Z33" s="23">
        <f t="shared" si="19"/>
        <v>0.75359712230215825</v>
      </c>
      <c r="AA33" s="23">
        <f t="shared" si="19"/>
        <v>0.84242424242424241</v>
      </c>
      <c r="AB33" s="23">
        <f t="shared" si="19"/>
        <v>2516.3741935483872</v>
      </c>
    </row>
    <row r="34" spans="1:28" ht="15.75" customHeight="1" x14ac:dyDescent="0.3">
      <c r="A34" s="21" t="s">
        <v>27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f t="shared" si="10"/>
        <v>0</v>
      </c>
      <c r="L34" s="22">
        <f t="shared" si="11"/>
        <v>0</v>
      </c>
      <c r="M34" s="22">
        <f t="shared" si="12"/>
        <v>0</v>
      </c>
      <c r="N34" s="22">
        <f t="shared" si="13"/>
        <v>0</v>
      </c>
      <c r="O34" s="22">
        <f t="shared" si="14"/>
        <v>0</v>
      </c>
      <c r="P34" s="22">
        <f t="shared" si="15"/>
        <v>0</v>
      </c>
      <c r="Q34" s="22">
        <f t="shared" si="16"/>
        <v>0</v>
      </c>
      <c r="R34" s="22">
        <f t="shared" si="17"/>
        <v>0</v>
      </c>
      <c r="S34" s="22">
        <f t="shared" si="18"/>
        <v>0</v>
      </c>
      <c r="T34" s="23" t="str">
        <f t="shared" si="19"/>
        <v>---</v>
      </c>
      <c r="U34" s="23" t="str">
        <f t="shared" si="19"/>
        <v>---</v>
      </c>
      <c r="V34" s="23" t="str">
        <f t="shared" si="19"/>
        <v>---</v>
      </c>
      <c r="W34" s="23" t="str">
        <f t="shared" si="19"/>
        <v>---</v>
      </c>
      <c r="X34" s="23" t="str">
        <f t="shared" si="19"/>
        <v>---</v>
      </c>
      <c r="Y34" s="23" t="str">
        <f t="shared" si="19"/>
        <v>---</v>
      </c>
      <c r="Z34" s="23" t="str">
        <f t="shared" si="19"/>
        <v>---</v>
      </c>
      <c r="AA34" s="23" t="str">
        <f t="shared" si="19"/>
        <v>---</v>
      </c>
      <c r="AB34" s="23" t="str">
        <f t="shared" si="19"/>
        <v>---</v>
      </c>
    </row>
    <row r="35" spans="1:28" ht="15.75" customHeight="1" x14ac:dyDescent="0.3">
      <c r="A35" s="21" t="s">
        <v>28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f t="shared" si="10"/>
        <v>0</v>
      </c>
      <c r="L35" s="22">
        <f t="shared" si="11"/>
        <v>0</v>
      </c>
      <c r="M35" s="22">
        <f t="shared" si="12"/>
        <v>0</v>
      </c>
      <c r="N35" s="22">
        <f t="shared" si="13"/>
        <v>0</v>
      </c>
      <c r="O35" s="22">
        <f t="shared" si="14"/>
        <v>0</v>
      </c>
      <c r="P35" s="22">
        <f t="shared" si="15"/>
        <v>0</v>
      </c>
      <c r="Q35" s="22">
        <f t="shared" si="16"/>
        <v>0</v>
      </c>
      <c r="R35" s="22">
        <f t="shared" si="17"/>
        <v>0</v>
      </c>
      <c r="S35" s="22">
        <f t="shared" si="18"/>
        <v>0</v>
      </c>
      <c r="T35" s="23" t="str">
        <f t="shared" si="19"/>
        <v>---</v>
      </c>
      <c r="U35" s="23" t="str">
        <f t="shared" si="19"/>
        <v>---</v>
      </c>
      <c r="V35" s="23" t="str">
        <f t="shared" si="19"/>
        <v>---</v>
      </c>
      <c r="W35" s="23" t="str">
        <f t="shared" si="19"/>
        <v>---</v>
      </c>
      <c r="X35" s="23" t="str">
        <f t="shared" si="19"/>
        <v>---</v>
      </c>
      <c r="Y35" s="23" t="str">
        <f t="shared" si="19"/>
        <v>---</v>
      </c>
      <c r="Z35" s="23" t="str">
        <f t="shared" si="19"/>
        <v>---</v>
      </c>
      <c r="AA35" s="23" t="str">
        <f t="shared" si="19"/>
        <v>---</v>
      </c>
      <c r="AB35" s="23" t="str">
        <f t="shared" si="19"/>
        <v>---</v>
      </c>
    </row>
    <row r="36" spans="1:28" ht="15.75" customHeight="1" x14ac:dyDescent="0.3">
      <c r="A36" s="21" t="s">
        <v>29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f t="shared" si="10"/>
        <v>0</v>
      </c>
      <c r="L36" s="22">
        <f t="shared" si="11"/>
        <v>0</v>
      </c>
      <c r="M36" s="22">
        <f t="shared" si="12"/>
        <v>0</v>
      </c>
      <c r="N36" s="22">
        <f t="shared" si="13"/>
        <v>0</v>
      </c>
      <c r="O36" s="22">
        <f t="shared" si="14"/>
        <v>0</v>
      </c>
      <c r="P36" s="22">
        <f t="shared" si="15"/>
        <v>0</v>
      </c>
      <c r="Q36" s="22">
        <f t="shared" si="16"/>
        <v>0</v>
      </c>
      <c r="R36" s="22">
        <f t="shared" si="17"/>
        <v>0</v>
      </c>
      <c r="S36" s="22">
        <f t="shared" si="18"/>
        <v>0</v>
      </c>
      <c r="T36" s="23" t="str">
        <f t="shared" si="19"/>
        <v>---</v>
      </c>
      <c r="U36" s="23" t="str">
        <f t="shared" si="19"/>
        <v>---</v>
      </c>
      <c r="V36" s="23" t="str">
        <f t="shared" si="19"/>
        <v>---</v>
      </c>
      <c r="W36" s="23" t="str">
        <f t="shared" si="19"/>
        <v>---</v>
      </c>
      <c r="X36" s="23" t="str">
        <f t="shared" si="19"/>
        <v>---</v>
      </c>
      <c r="Y36" s="23" t="str">
        <f t="shared" si="19"/>
        <v>---</v>
      </c>
      <c r="Z36" s="23" t="str">
        <f t="shared" si="19"/>
        <v>---</v>
      </c>
      <c r="AA36" s="23" t="str">
        <f t="shared" si="19"/>
        <v>---</v>
      </c>
      <c r="AB36" s="23" t="str">
        <f t="shared" si="19"/>
        <v>---</v>
      </c>
    </row>
    <row r="37" spans="1:28" ht="15.75" customHeight="1" x14ac:dyDescent="0.3">
      <c r="A37" s="21" t="s">
        <v>17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f t="shared" si="10"/>
        <v>0</v>
      </c>
      <c r="L37" s="22">
        <f t="shared" si="11"/>
        <v>0</v>
      </c>
      <c r="M37" s="22">
        <f t="shared" si="12"/>
        <v>0</v>
      </c>
      <c r="N37" s="22">
        <f t="shared" si="13"/>
        <v>0</v>
      </c>
      <c r="O37" s="22">
        <f t="shared" si="14"/>
        <v>0</v>
      </c>
      <c r="P37" s="22">
        <f t="shared" si="15"/>
        <v>0</v>
      </c>
      <c r="Q37" s="22">
        <f t="shared" si="16"/>
        <v>0</v>
      </c>
      <c r="R37" s="22">
        <f t="shared" si="17"/>
        <v>0</v>
      </c>
      <c r="S37" s="22">
        <f t="shared" si="18"/>
        <v>0</v>
      </c>
      <c r="T37" s="23" t="str">
        <f t="shared" si="19"/>
        <v>---</v>
      </c>
      <c r="U37" s="23" t="str">
        <f t="shared" si="19"/>
        <v>---</v>
      </c>
      <c r="V37" s="23" t="str">
        <f t="shared" si="19"/>
        <v>---</v>
      </c>
      <c r="W37" s="23" t="str">
        <f t="shared" si="19"/>
        <v>---</v>
      </c>
      <c r="X37" s="23" t="str">
        <f t="shared" si="19"/>
        <v>---</v>
      </c>
      <c r="Y37" s="23" t="str">
        <f t="shared" si="19"/>
        <v>---</v>
      </c>
      <c r="Z37" s="23" t="str">
        <f t="shared" si="19"/>
        <v>---</v>
      </c>
      <c r="AA37" s="23" t="str">
        <f t="shared" si="19"/>
        <v>---</v>
      </c>
      <c r="AB37" s="23" t="str">
        <f t="shared" si="19"/>
        <v>---</v>
      </c>
    </row>
    <row r="38" spans="1:28" ht="15.75" customHeight="1" x14ac:dyDescent="0.3">
      <c r="A38" s="21" t="s">
        <v>30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f t="shared" si="10"/>
        <v>0</v>
      </c>
      <c r="L38" s="22">
        <f t="shared" si="11"/>
        <v>0</v>
      </c>
      <c r="M38" s="22">
        <f t="shared" si="12"/>
        <v>0</v>
      </c>
      <c r="N38" s="22">
        <f t="shared" si="13"/>
        <v>0</v>
      </c>
      <c r="O38" s="22">
        <f t="shared" si="14"/>
        <v>0</v>
      </c>
      <c r="P38" s="22">
        <f t="shared" si="15"/>
        <v>0</v>
      </c>
      <c r="Q38" s="22">
        <f t="shared" si="16"/>
        <v>0</v>
      </c>
      <c r="R38" s="22">
        <f t="shared" si="17"/>
        <v>0</v>
      </c>
      <c r="S38" s="22">
        <f t="shared" si="18"/>
        <v>0</v>
      </c>
      <c r="T38" s="23" t="str">
        <f t="shared" ref="T38:AB53" si="20">IF(C38=0,"---",B38/C38)</f>
        <v>---</v>
      </c>
      <c r="U38" s="23" t="str">
        <f t="shared" si="20"/>
        <v>---</v>
      </c>
      <c r="V38" s="23" t="str">
        <f t="shared" si="20"/>
        <v>---</v>
      </c>
      <c r="W38" s="23" t="str">
        <f t="shared" si="20"/>
        <v>---</v>
      </c>
      <c r="X38" s="23" t="str">
        <f t="shared" si="20"/>
        <v>---</v>
      </c>
      <c r="Y38" s="23" t="str">
        <f t="shared" si="20"/>
        <v>---</v>
      </c>
      <c r="Z38" s="23" t="str">
        <f t="shared" si="20"/>
        <v>---</v>
      </c>
      <c r="AA38" s="23" t="str">
        <f t="shared" si="20"/>
        <v>---</v>
      </c>
      <c r="AB38" s="23" t="str">
        <f t="shared" si="20"/>
        <v>---</v>
      </c>
    </row>
    <row r="39" spans="1:28" ht="15.75" customHeight="1" x14ac:dyDescent="0.3">
      <c r="A39" s="29" t="s">
        <v>31</v>
      </c>
      <c r="B39" s="30">
        <v>241.58699999999999</v>
      </c>
      <c r="C39" s="30">
        <v>253.15899999999999</v>
      </c>
      <c r="D39" s="30">
        <v>249.50700000000001</v>
      </c>
      <c r="E39" s="30">
        <v>295.24700000000001</v>
      </c>
      <c r="F39" s="30">
        <v>301.541</v>
      </c>
      <c r="G39" s="30">
        <v>258.66300000000001</v>
      </c>
      <c r="H39" s="30">
        <v>257.04599999999999</v>
      </c>
      <c r="I39" s="30">
        <v>255.495</v>
      </c>
      <c r="J39" s="30">
        <v>256.03199999999998</v>
      </c>
      <c r="K39" s="31">
        <f t="shared" si="10"/>
        <v>0.6813328444920751</v>
      </c>
      <c r="L39" s="31">
        <f t="shared" si="11"/>
        <v>0.68415064561634875</v>
      </c>
      <c r="M39" s="31">
        <f t="shared" si="12"/>
        <v>0.69462439831067635</v>
      </c>
      <c r="N39" s="31">
        <f t="shared" si="13"/>
        <v>0.71518162527735529</v>
      </c>
      <c r="O39" s="31">
        <f t="shared" si="14"/>
        <v>0.73418550576433783</v>
      </c>
      <c r="P39" s="31">
        <f t="shared" si="15"/>
        <v>0.72630603563255514</v>
      </c>
      <c r="Q39" s="31">
        <f t="shared" si="16"/>
        <v>0.73519855389156474</v>
      </c>
      <c r="R39" s="31">
        <f t="shared" si="17"/>
        <v>0.72740032569951363</v>
      </c>
      <c r="S39" s="31">
        <f t="shared" si="18"/>
        <v>0.74146838727613928</v>
      </c>
      <c r="T39" s="23">
        <f t="shared" si="20"/>
        <v>0.95428959665664659</v>
      </c>
      <c r="U39" s="23">
        <f t="shared" si="20"/>
        <v>1.014636863895602</v>
      </c>
      <c r="V39" s="23">
        <f t="shared" si="20"/>
        <v>0.84507886616968164</v>
      </c>
      <c r="W39" s="23">
        <f t="shared" si="20"/>
        <v>0.97912721653108536</v>
      </c>
      <c r="X39" s="23">
        <f t="shared" si="20"/>
        <v>1.1657678137190088</v>
      </c>
      <c r="Y39" s="23">
        <f t="shared" si="20"/>
        <v>1.0062907028313999</v>
      </c>
      <c r="Z39" s="23">
        <f t="shared" si="20"/>
        <v>1.006070568895673</v>
      </c>
      <c r="AA39" s="23">
        <f t="shared" si="20"/>
        <v>0.9979026059242595</v>
      </c>
      <c r="AB39" s="23">
        <f t="shared" si="20"/>
        <v>375.78109153224301</v>
      </c>
    </row>
    <row r="40" spans="1:28" ht="15.75" customHeight="1" x14ac:dyDescent="0.3">
      <c r="A40" s="35" t="s">
        <v>32</v>
      </c>
      <c r="B40" s="36">
        <v>354.58</v>
      </c>
      <c r="C40" s="36">
        <v>370.03399999999999</v>
      </c>
      <c r="D40" s="36">
        <v>359.197</v>
      </c>
      <c r="E40" s="36">
        <v>412.82799999999997</v>
      </c>
      <c r="F40" s="36">
        <v>410.71499999999997</v>
      </c>
      <c r="G40" s="36">
        <v>356.13499999999999</v>
      </c>
      <c r="H40" s="36">
        <v>349.62799999999999</v>
      </c>
      <c r="I40" s="36">
        <v>351.24400000000003</v>
      </c>
      <c r="J40" s="36">
        <v>345.30399999999997</v>
      </c>
      <c r="K40" s="25">
        <f t="shared" si="10"/>
        <v>1</v>
      </c>
      <c r="L40" s="25">
        <f t="shared" si="11"/>
        <v>1</v>
      </c>
      <c r="M40" s="25">
        <f t="shared" si="12"/>
        <v>1</v>
      </c>
      <c r="N40" s="25">
        <f t="shared" si="13"/>
        <v>1</v>
      </c>
      <c r="O40" s="25">
        <f t="shared" si="14"/>
        <v>1</v>
      </c>
      <c r="P40" s="25">
        <f t="shared" si="15"/>
        <v>1</v>
      </c>
      <c r="Q40" s="25">
        <f t="shared" si="16"/>
        <v>1</v>
      </c>
      <c r="R40" s="25">
        <f t="shared" si="17"/>
        <v>1</v>
      </c>
      <c r="S40" s="25">
        <f t="shared" si="18"/>
        <v>1</v>
      </c>
      <c r="T40" s="23">
        <f t="shared" si="20"/>
        <v>0.958236270180578</v>
      </c>
      <c r="U40" s="23">
        <f t="shared" si="20"/>
        <v>1.0301700738035118</v>
      </c>
      <c r="V40" s="23">
        <f t="shared" si="20"/>
        <v>0.87008875366980931</v>
      </c>
      <c r="W40" s="23">
        <f t="shared" si="20"/>
        <v>1.0051446867048928</v>
      </c>
      <c r="X40" s="23">
        <f t="shared" si="20"/>
        <v>1.1532564898142559</v>
      </c>
      <c r="Y40" s="23">
        <f t="shared" si="20"/>
        <v>1.0186112096285194</v>
      </c>
      <c r="Z40" s="23">
        <f t="shared" si="20"/>
        <v>0.99539920966621487</v>
      </c>
      <c r="AA40" s="23">
        <f t="shared" si="20"/>
        <v>1.0172022333943425</v>
      </c>
      <c r="AB40" s="23">
        <f t="shared" si="20"/>
        <v>345.30399999999997</v>
      </c>
    </row>
    <row r="41" spans="1:28" ht="15.75" customHeight="1" x14ac:dyDescent="0.3">
      <c r="A41" s="37" t="s">
        <v>33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23" t="str">
        <f t="shared" si="20"/>
        <v>---</v>
      </c>
      <c r="U41" s="23" t="str">
        <f t="shared" si="20"/>
        <v>---</v>
      </c>
      <c r="V41" s="23" t="str">
        <f t="shared" si="20"/>
        <v>---</v>
      </c>
      <c r="W41" s="23" t="str">
        <f t="shared" si="20"/>
        <v>---</v>
      </c>
      <c r="X41" s="23" t="str">
        <f t="shared" si="20"/>
        <v>---</v>
      </c>
      <c r="Y41" s="23" t="str">
        <f t="shared" si="20"/>
        <v>---</v>
      </c>
      <c r="Z41" s="23" t="str">
        <f t="shared" si="20"/>
        <v>---</v>
      </c>
      <c r="AA41" s="23" t="str">
        <f t="shared" si="20"/>
        <v>---</v>
      </c>
      <c r="AB41" s="23" t="str">
        <f t="shared" si="20"/>
        <v>---</v>
      </c>
    </row>
    <row r="42" spans="1:28" ht="15.75" customHeight="1" x14ac:dyDescent="0.3">
      <c r="A42" s="39" t="s">
        <v>34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23" t="str">
        <f t="shared" si="20"/>
        <v>---</v>
      </c>
      <c r="U42" s="23" t="str">
        <f t="shared" si="20"/>
        <v>---</v>
      </c>
      <c r="V42" s="23" t="str">
        <f t="shared" si="20"/>
        <v>---</v>
      </c>
      <c r="W42" s="23" t="str">
        <f t="shared" si="20"/>
        <v>---</v>
      </c>
      <c r="X42" s="23" t="str">
        <f t="shared" si="20"/>
        <v>---</v>
      </c>
      <c r="Y42" s="23" t="str">
        <f t="shared" si="20"/>
        <v>---</v>
      </c>
      <c r="Z42" s="23" t="str">
        <f t="shared" si="20"/>
        <v>---</v>
      </c>
      <c r="AA42" s="23" t="str">
        <f t="shared" si="20"/>
        <v>---</v>
      </c>
      <c r="AB42" s="23" t="str">
        <f t="shared" si="20"/>
        <v>---</v>
      </c>
    </row>
    <row r="43" spans="1:28" ht="15.75" customHeight="1" x14ac:dyDescent="0.3">
      <c r="A43" s="21" t="s">
        <v>35</v>
      </c>
      <c r="B43" s="22">
        <v>40.700000000000003</v>
      </c>
      <c r="C43" s="22">
        <v>60.328000000000003</v>
      </c>
      <c r="D43" s="22">
        <v>58.002000000000002</v>
      </c>
      <c r="E43" s="22">
        <v>83.412000000000006</v>
      </c>
      <c r="F43" s="22">
        <v>81.894000000000005</v>
      </c>
      <c r="G43" s="22">
        <v>77.789000000000001</v>
      </c>
      <c r="H43" s="22">
        <v>64.132999999999996</v>
      </c>
      <c r="I43" s="22">
        <v>64.242000000000004</v>
      </c>
      <c r="J43" s="22">
        <v>64.927000000000007</v>
      </c>
      <c r="K43" s="25">
        <f t="shared" ref="K43:K55" si="21">B43/$B$69</f>
        <v>0.35690796685228221</v>
      </c>
      <c r="L43" s="25">
        <f t="shared" ref="L43:L55" si="22">C43/$C$69</f>
        <v>0.43461158858575455</v>
      </c>
      <c r="M43" s="25">
        <f t="shared" ref="M43:M55" si="23">D43/$D$69</f>
        <v>0.45124750071963715</v>
      </c>
      <c r="N43" s="25">
        <f t="shared" ref="N43:N55" si="24">E43/$E$69</f>
        <v>0.43875189362060263</v>
      </c>
      <c r="O43" s="25">
        <f t="shared" ref="O43:O55" si="25">F43/$F$69</f>
        <v>0.44021458673776553</v>
      </c>
      <c r="P43" s="25">
        <f t="shared" ref="P43:P55" si="26">G43/$G$69</f>
        <v>0.4403715948461312</v>
      </c>
      <c r="Q43" s="25">
        <f t="shared" ref="Q43:Q55" si="27">H43/$H$69</f>
        <v>0.4166076613767612</v>
      </c>
      <c r="R43" s="25">
        <f t="shared" ref="R43:R55" si="28">I43/$I$69</f>
        <v>0.42156862745098039</v>
      </c>
      <c r="S43" s="25">
        <f t="shared" ref="S43:S55" si="29">J43/$J$69</f>
        <v>0.48582417335737754</v>
      </c>
      <c r="T43" s="23">
        <f t="shared" si="20"/>
        <v>0.67464527251027717</v>
      </c>
      <c r="U43" s="23">
        <f t="shared" si="20"/>
        <v>1.0401020654460191</v>
      </c>
      <c r="V43" s="23">
        <f t="shared" si="20"/>
        <v>0.69536757301107754</v>
      </c>
      <c r="W43" s="23">
        <f t="shared" si="20"/>
        <v>1.0185361564949813</v>
      </c>
      <c r="X43" s="23">
        <f t="shared" si="20"/>
        <v>1.0527709573332991</v>
      </c>
      <c r="Y43" s="23">
        <f t="shared" si="20"/>
        <v>1.2129324996491666</v>
      </c>
      <c r="Z43" s="23">
        <f t="shared" si="20"/>
        <v>0.9983032906821081</v>
      </c>
      <c r="AA43" s="23">
        <f t="shared" si="20"/>
        <v>0.98944968965145463</v>
      </c>
      <c r="AB43" s="23">
        <f t="shared" si="20"/>
        <v>181.91524434889436</v>
      </c>
    </row>
    <row r="44" spans="1:28" ht="15.75" customHeight="1" x14ac:dyDescent="0.3">
      <c r="A44" s="21" t="s">
        <v>36</v>
      </c>
      <c r="B44" s="22">
        <v>40.292000000000002</v>
      </c>
      <c r="C44" s="22">
        <v>49.981999999999999</v>
      </c>
      <c r="D44" s="22">
        <v>32.957999999999998</v>
      </c>
      <c r="E44" s="22">
        <v>45.307000000000002</v>
      </c>
      <c r="F44" s="22">
        <v>47.594000000000001</v>
      </c>
      <c r="G44" s="22">
        <v>41.808999999999997</v>
      </c>
      <c r="H44" s="22">
        <v>33.408999999999999</v>
      </c>
      <c r="I44" s="22">
        <v>34.838000000000001</v>
      </c>
      <c r="J44" s="22">
        <v>32.81</v>
      </c>
      <c r="K44" s="25">
        <f t="shared" si="21"/>
        <v>0.35333011794624458</v>
      </c>
      <c r="L44" s="25">
        <f t="shared" si="22"/>
        <v>0.36007751658754117</v>
      </c>
      <c r="M44" s="25">
        <f t="shared" si="23"/>
        <v>0.25640866054132272</v>
      </c>
      <c r="N44" s="25">
        <f t="shared" si="24"/>
        <v>0.23831741289345229</v>
      </c>
      <c r="O44" s="25">
        <f t="shared" si="25"/>
        <v>0.25583770534101657</v>
      </c>
      <c r="P44" s="25">
        <f t="shared" si="26"/>
        <v>0.2366850841240008</v>
      </c>
      <c r="Q44" s="25">
        <f t="shared" si="27"/>
        <v>0.21702470426981765</v>
      </c>
      <c r="R44" s="25">
        <f t="shared" si="28"/>
        <v>0.22861380161167547</v>
      </c>
      <c r="S44" s="25">
        <f t="shared" si="29"/>
        <v>0.24550481506700689</v>
      </c>
      <c r="T44" s="23">
        <f t="shared" si="20"/>
        <v>0.8061302068744749</v>
      </c>
      <c r="U44" s="23">
        <f t="shared" si="20"/>
        <v>1.5165361975848048</v>
      </c>
      <c r="V44" s="23">
        <f t="shared" si="20"/>
        <v>0.72743726135034315</v>
      </c>
      <c r="W44" s="23">
        <f t="shared" si="20"/>
        <v>0.95194772450308862</v>
      </c>
      <c r="X44" s="23">
        <f t="shared" si="20"/>
        <v>1.1383673371762062</v>
      </c>
      <c r="Y44" s="23">
        <f t="shared" si="20"/>
        <v>1.251429255589811</v>
      </c>
      <c r="Z44" s="23">
        <f t="shared" si="20"/>
        <v>0.95898157184683386</v>
      </c>
      <c r="AA44" s="23">
        <f t="shared" si="20"/>
        <v>1.0618104236513257</v>
      </c>
      <c r="AB44" s="23">
        <f t="shared" si="20"/>
        <v>92.859335600119138</v>
      </c>
    </row>
    <row r="45" spans="1:28" ht="15.75" customHeight="1" x14ac:dyDescent="0.3">
      <c r="A45" s="21" t="s">
        <v>37</v>
      </c>
      <c r="B45" s="22">
        <v>30.646000000000001</v>
      </c>
      <c r="C45" s="22">
        <v>40.116999999999997</v>
      </c>
      <c r="D45" s="22">
        <v>23.904</v>
      </c>
      <c r="E45" s="22">
        <v>35.238</v>
      </c>
      <c r="F45" s="22">
        <v>37.049999999999997</v>
      </c>
      <c r="G45" s="22">
        <v>33.915999999999997</v>
      </c>
      <c r="H45" s="22">
        <v>26.747</v>
      </c>
      <c r="I45" s="22">
        <v>28.216000000000001</v>
      </c>
      <c r="J45" s="22">
        <v>25.812000000000001</v>
      </c>
      <c r="K45" s="25">
        <f t="shared" si="21"/>
        <v>0.26874205287850222</v>
      </c>
      <c r="L45" s="25">
        <f t="shared" si="22"/>
        <v>0.28900863776844438</v>
      </c>
      <c r="M45" s="25">
        <f t="shared" si="23"/>
        <v>0.18596979857939736</v>
      </c>
      <c r="N45" s="25">
        <f t="shared" si="24"/>
        <v>0.18535389665039556</v>
      </c>
      <c r="O45" s="25">
        <f t="shared" si="25"/>
        <v>0.19915928442418507</v>
      </c>
      <c r="P45" s="25">
        <f t="shared" si="26"/>
        <v>0.19200199270849844</v>
      </c>
      <c r="Q45" s="25">
        <f t="shared" si="27"/>
        <v>0.17374838412118929</v>
      </c>
      <c r="R45" s="25">
        <f t="shared" si="28"/>
        <v>0.18515893639919154</v>
      </c>
      <c r="S45" s="25">
        <f t="shared" si="29"/>
        <v>0.19314142903107534</v>
      </c>
      <c r="T45" s="23">
        <f t="shared" si="20"/>
        <v>0.76391554702495212</v>
      </c>
      <c r="U45" s="23">
        <f t="shared" si="20"/>
        <v>1.6782546854082998</v>
      </c>
      <c r="V45" s="23">
        <f t="shared" si="20"/>
        <v>0.67835859015835176</v>
      </c>
      <c r="W45" s="23">
        <f t="shared" si="20"/>
        <v>0.9510931174089069</v>
      </c>
      <c r="X45" s="23">
        <f t="shared" si="20"/>
        <v>1.0924047647128199</v>
      </c>
      <c r="Y45" s="23">
        <f t="shared" si="20"/>
        <v>1.2680300594459191</v>
      </c>
      <c r="Z45" s="23">
        <f t="shared" si="20"/>
        <v>0.94793734051601919</v>
      </c>
      <c r="AA45" s="23">
        <f t="shared" si="20"/>
        <v>1.0931349759801643</v>
      </c>
      <c r="AB45" s="23">
        <f t="shared" si="20"/>
        <v>96.047491352868235</v>
      </c>
    </row>
    <row r="46" spans="1:28" ht="15.75" customHeight="1" x14ac:dyDescent="0.3">
      <c r="A46" s="21" t="s">
        <v>38</v>
      </c>
      <c r="B46" s="22">
        <v>1</v>
      </c>
      <c r="C46" s="22">
        <v>3</v>
      </c>
      <c r="D46" s="22">
        <v>3</v>
      </c>
      <c r="E46" s="22">
        <v>9</v>
      </c>
      <c r="F46" s="22">
        <v>9</v>
      </c>
      <c r="G46" s="22">
        <v>6</v>
      </c>
      <c r="H46" s="22">
        <v>0</v>
      </c>
      <c r="I46" s="22">
        <v>427</v>
      </c>
      <c r="J46" s="22">
        <v>61</v>
      </c>
      <c r="K46" s="25">
        <f t="shared" si="21"/>
        <v>8.7692375147980887E-3</v>
      </c>
      <c r="L46" s="25">
        <f t="shared" si="22"/>
        <v>2.161243147058188E-2</v>
      </c>
      <c r="M46" s="25">
        <f t="shared" si="23"/>
        <v>2.3339583155044849E-2</v>
      </c>
      <c r="N46" s="25">
        <f t="shared" si="24"/>
        <v>4.7340515064803905E-2</v>
      </c>
      <c r="O46" s="25">
        <f t="shared" si="25"/>
        <v>4.8378773544336458E-2</v>
      </c>
      <c r="P46" s="25">
        <f t="shared" si="26"/>
        <v>3.3966622132650982E-2</v>
      </c>
      <c r="Q46" s="25">
        <f t="shared" si="27"/>
        <v>0</v>
      </c>
      <c r="R46" s="25">
        <f t="shared" si="28"/>
        <v>2.8020579048219019</v>
      </c>
      <c r="S46" s="25">
        <f t="shared" si="29"/>
        <v>0.45643991828977198</v>
      </c>
      <c r="T46" s="23">
        <f t="shared" si="20"/>
        <v>0.33333333333333331</v>
      </c>
      <c r="U46" s="23">
        <f t="shared" si="20"/>
        <v>1</v>
      </c>
      <c r="V46" s="23">
        <f t="shared" si="20"/>
        <v>0.33333333333333331</v>
      </c>
      <c r="W46" s="23">
        <f t="shared" si="20"/>
        <v>1</v>
      </c>
      <c r="X46" s="23">
        <f t="shared" si="20"/>
        <v>1.5</v>
      </c>
      <c r="Y46" s="23" t="str">
        <f t="shared" si="20"/>
        <v>---</v>
      </c>
      <c r="Z46" s="23">
        <f t="shared" si="20"/>
        <v>0</v>
      </c>
      <c r="AA46" s="23">
        <f t="shared" si="20"/>
        <v>7</v>
      </c>
      <c r="AB46" s="23">
        <f t="shared" si="20"/>
        <v>6956.1349999999993</v>
      </c>
    </row>
    <row r="47" spans="1:28" ht="15.75" customHeight="1" x14ac:dyDescent="0.3">
      <c r="A47" s="21" t="s">
        <v>39</v>
      </c>
      <c r="B47" s="22">
        <v>9.6449999999999996</v>
      </c>
      <c r="C47" s="22">
        <v>9.8620000000000001</v>
      </c>
      <c r="D47" s="22">
        <v>9.0510000000000002</v>
      </c>
      <c r="E47" s="22">
        <v>10.06</v>
      </c>
      <c r="F47" s="22">
        <v>10.535</v>
      </c>
      <c r="G47" s="22">
        <v>7.8869999999999996</v>
      </c>
      <c r="H47" s="22">
        <v>6.6619999999999999</v>
      </c>
      <c r="I47" s="22">
        <v>6.1950000000000003</v>
      </c>
      <c r="J47" s="22">
        <v>6.9370000000000003</v>
      </c>
      <c r="K47" s="25">
        <f t="shared" si="21"/>
        <v>8.4579295830227566E-2</v>
      </c>
      <c r="L47" s="25">
        <f t="shared" si="22"/>
        <v>7.1047266387626165E-2</v>
      </c>
      <c r="M47" s="25">
        <f t="shared" si="23"/>
        <v>7.0415522378770315E-2</v>
      </c>
      <c r="N47" s="25">
        <f t="shared" si="24"/>
        <v>5.2916175727991926E-2</v>
      </c>
      <c r="O47" s="25">
        <f t="shared" si="25"/>
        <v>5.6630042143287172E-2</v>
      </c>
      <c r="P47" s="25">
        <f t="shared" si="26"/>
        <v>4.4649124793369709E-2</v>
      </c>
      <c r="Q47" s="25">
        <f t="shared" si="27"/>
        <v>4.3276320148628367E-2</v>
      </c>
      <c r="R47" s="25">
        <f t="shared" si="28"/>
        <v>4.065280730766202E-2</v>
      </c>
      <c r="S47" s="25">
        <f t="shared" si="29"/>
        <v>5.1906946117641781E-2</v>
      </c>
      <c r="T47" s="23">
        <f t="shared" si="20"/>
        <v>0.97799634962482251</v>
      </c>
      <c r="U47" s="23">
        <f t="shared" si="20"/>
        <v>1.0896033587448901</v>
      </c>
      <c r="V47" s="23">
        <f t="shared" si="20"/>
        <v>0.89970178926441347</v>
      </c>
      <c r="W47" s="23">
        <f t="shared" si="20"/>
        <v>0.95491219743711442</v>
      </c>
      <c r="X47" s="23">
        <f t="shared" si="20"/>
        <v>1.3357423608469634</v>
      </c>
      <c r="Y47" s="23">
        <f t="shared" si="20"/>
        <v>1.1838787151005703</v>
      </c>
      <c r="Z47" s="23">
        <f t="shared" si="20"/>
        <v>1.0753833736884584</v>
      </c>
      <c r="AA47" s="23">
        <f t="shared" si="20"/>
        <v>0.89303733602421798</v>
      </c>
      <c r="AB47" s="23">
        <f t="shared" si="20"/>
        <v>82.017708138932093</v>
      </c>
    </row>
    <row r="48" spans="1:28" ht="15.75" customHeight="1" x14ac:dyDescent="0.3">
      <c r="A48" s="21" t="s">
        <v>40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f t="shared" si="21"/>
        <v>0</v>
      </c>
      <c r="L48" s="22">
        <f t="shared" si="22"/>
        <v>0</v>
      </c>
      <c r="M48" s="22">
        <f t="shared" si="23"/>
        <v>0</v>
      </c>
      <c r="N48" s="22">
        <f t="shared" si="24"/>
        <v>0</v>
      </c>
      <c r="O48" s="22">
        <f t="shared" si="25"/>
        <v>0</v>
      </c>
      <c r="P48" s="22">
        <f t="shared" si="26"/>
        <v>0</v>
      </c>
      <c r="Q48" s="22">
        <f t="shared" si="27"/>
        <v>0</v>
      </c>
      <c r="R48" s="22">
        <f t="shared" si="28"/>
        <v>0</v>
      </c>
      <c r="S48" s="22">
        <f t="shared" si="29"/>
        <v>0</v>
      </c>
      <c r="T48" s="23" t="str">
        <f t="shared" si="20"/>
        <v>---</v>
      </c>
      <c r="U48" s="23" t="str">
        <f t="shared" si="20"/>
        <v>---</v>
      </c>
      <c r="V48" s="23" t="str">
        <f t="shared" si="20"/>
        <v>---</v>
      </c>
      <c r="W48" s="23" t="str">
        <f t="shared" si="20"/>
        <v>---</v>
      </c>
      <c r="X48" s="23" t="str">
        <f t="shared" si="20"/>
        <v>---</v>
      </c>
      <c r="Y48" s="23" t="str">
        <f t="shared" si="20"/>
        <v>---</v>
      </c>
      <c r="Z48" s="23" t="str">
        <f t="shared" si="20"/>
        <v>---</v>
      </c>
      <c r="AA48" s="23" t="str">
        <f t="shared" si="20"/>
        <v>---</v>
      </c>
      <c r="AB48" s="23" t="str">
        <f t="shared" si="20"/>
        <v>---</v>
      </c>
    </row>
    <row r="49" spans="1:28" ht="15.75" customHeight="1" x14ac:dyDescent="0.3">
      <c r="A49" s="21" t="s">
        <v>41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f t="shared" si="21"/>
        <v>0</v>
      </c>
      <c r="L49" s="22">
        <f t="shared" si="22"/>
        <v>0</v>
      </c>
      <c r="M49" s="22">
        <f t="shared" si="23"/>
        <v>0</v>
      </c>
      <c r="N49" s="22">
        <f t="shared" si="24"/>
        <v>0</v>
      </c>
      <c r="O49" s="22">
        <f t="shared" si="25"/>
        <v>0</v>
      </c>
      <c r="P49" s="22">
        <f t="shared" si="26"/>
        <v>0</v>
      </c>
      <c r="Q49" s="22">
        <f t="shared" si="27"/>
        <v>0</v>
      </c>
      <c r="R49" s="22">
        <f t="shared" si="28"/>
        <v>0</v>
      </c>
      <c r="S49" s="22">
        <f t="shared" si="29"/>
        <v>0</v>
      </c>
      <c r="T49" s="23" t="str">
        <f t="shared" si="20"/>
        <v>---</v>
      </c>
      <c r="U49" s="23" t="str">
        <f t="shared" si="20"/>
        <v>---</v>
      </c>
      <c r="V49" s="23" t="str">
        <f t="shared" si="20"/>
        <v>---</v>
      </c>
      <c r="W49" s="23" t="str">
        <f t="shared" si="20"/>
        <v>---</v>
      </c>
      <c r="X49" s="23" t="str">
        <f t="shared" si="20"/>
        <v>---</v>
      </c>
      <c r="Y49" s="23" t="str">
        <f t="shared" si="20"/>
        <v>---</v>
      </c>
      <c r="Z49" s="23" t="str">
        <f t="shared" si="20"/>
        <v>---</v>
      </c>
      <c r="AA49" s="23" t="str">
        <f t="shared" si="20"/>
        <v>---</v>
      </c>
      <c r="AB49" s="23" t="str">
        <f t="shared" si="20"/>
        <v>---</v>
      </c>
    </row>
    <row r="50" spans="1:28" ht="15.75" customHeight="1" x14ac:dyDescent="0.3">
      <c r="A50" s="21" t="s">
        <v>42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f t="shared" si="21"/>
        <v>0</v>
      </c>
      <c r="L50" s="22">
        <f t="shared" si="22"/>
        <v>0</v>
      </c>
      <c r="M50" s="22">
        <f t="shared" si="23"/>
        <v>0</v>
      </c>
      <c r="N50" s="22">
        <f t="shared" si="24"/>
        <v>0</v>
      </c>
      <c r="O50" s="22">
        <f t="shared" si="25"/>
        <v>0</v>
      </c>
      <c r="P50" s="22">
        <f t="shared" si="26"/>
        <v>0</v>
      </c>
      <c r="Q50" s="22">
        <f t="shared" si="27"/>
        <v>0</v>
      </c>
      <c r="R50" s="22">
        <f t="shared" si="28"/>
        <v>0</v>
      </c>
      <c r="S50" s="22">
        <f t="shared" si="29"/>
        <v>0</v>
      </c>
      <c r="T50" s="23" t="str">
        <f t="shared" si="20"/>
        <v>---</v>
      </c>
      <c r="U50" s="23" t="str">
        <f t="shared" si="20"/>
        <v>---</v>
      </c>
      <c r="V50" s="23" t="str">
        <f t="shared" si="20"/>
        <v>---</v>
      </c>
      <c r="W50" s="23" t="str">
        <f t="shared" si="20"/>
        <v>---</v>
      </c>
      <c r="X50" s="23" t="str">
        <f t="shared" si="20"/>
        <v>---</v>
      </c>
      <c r="Y50" s="23" t="str">
        <f t="shared" si="20"/>
        <v>---</v>
      </c>
      <c r="Z50" s="23" t="str">
        <f t="shared" si="20"/>
        <v>---</v>
      </c>
      <c r="AA50" s="23" t="str">
        <f t="shared" si="20"/>
        <v>---</v>
      </c>
      <c r="AB50" s="23" t="str">
        <f t="shared" si="20"/>
        <v>---</v>
      </c>
    </row>
    <row r="51" spans="1:28" ht="15.75" customHeight="1" x14ac:dyDescent="0.3">
      <c r="A51" s="21" t="s">
        <v>43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f t="shared" si="21"/>
        <v>0</v>
      </c>
      <c r="L51" s="22">
        <f t="shared" si="22"/>
        <v>0</v>
      </c>
      <c r="M51" s="22">
        <f t="shared" si="23"/>
        <v>0</v>
      </c>
      <c r="N51" s="22">
        <f t="shared" si="24"/>
        <v>0</v>
      </c>
      <c r="O51" s="22">
        <f t="shared" si="25"/>
        <v>0</v>
      </c>
      <c r="P51" s="22">
        <f t="shared" si="26"/>
        <v>0</v>
      </c>
      <c r="Q51" s="22">
        <f t="shared" si="27"/>
        <v>0</v>
      </c>
      <c r="R51" s="22">
        <f t="shared" si="28"/>
        <v>0</v>
      </c>
      <c r="S51" s="22">
        <f t="shared" si="29"/>
        <v>0</v>
      </c>
      <c r="T51" s="23" t="str">
        <f t="shared" si="20"/>
        <v>---</v>
      </c>
      <c r="U51" s="23" t="str">
        <f t="shared" si="20"/>
        <v>---</v>
      </c>
      <c r="V51" s="23" t="str">
        <f t="shared" si="20"/>
        <v>---</v>
      </c>
      <c r="W51" s="23" t="str">
        <f t="shared" si="20"/>
        <v>---</v>
      </c>
      <c r="X51" s="23" t="str">
        <f t="shared" si="20"/>
        <v>---</v>
      </c>
      <c r="Y51" s="23" t="str">
        <f t="shared" si="20"/>
        <v>---</v>
      </c>
      <c r="Z51" s="23" t="str">
        <f t="shared" si="20"/>
        <v>---</v>
      </c>
      <c r="AA51" s="23" t="str">
        <f t="shared" si="20"/>
        <v>---</v>
      </c>
      <c r="AB51" s="23" t="str">
        <f t="shared" si="20"/>
        <v>---</v>
      </c>
    </row>
    <row r="52" spans="1:28" ht="15.75" customHeight="1" x14ac:dyDescent="0.3">
      <c r="A52" s="21" t="s">
        <v>44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f t="shared" si="21"/>
        <v>0</v>
      </c>
      <c r="L52" s="22">
        <f t="shared" si="22"/>
        <v>0</v>
      </c>
      <c r="M52" s="22">
        <f t="shared" si="23"/>
        <v>0</v>
      </c>
      <c r="N52" s="22">
        <f t="shared" si="24"/>
        <v>0</v>
      </c>
      <c r="O52" s="22">
        <f t="shared" si="25"/>
        <v>0</v>
      </c>
      <c r="P52" s="22">
        <f t="shared" si="26"/>
        <v>0</v>
      </c>
      <c r="Q52" s="22">
        <f t="shared" si="27"/>
        <v>0</v>
      </c>
      <c r="R52" s="22">
        <f t="shared" si="28"/>
        <v>0</v>
      </c>
      <c r="S52" s="22">
        <f t="shared" si="29"/>
        <v>0</v>
      </c>
      <c r="T52" s="23" t="str">
        <f t="shared" si="20"/>
        <v>---</v>
      </c>
      <c r="U52" s="23" t="str">
        <f t="shared" si="20"/>
        <v>---</v>
      </c>
      <c r="V52" s="23" t="str">
        <f t="shared" si="20"/>
        <v>---</v>
      </c>
      <c r="W52" s="23" t="str">
        <f t="shared" si="20"/>
        <v>---</v>
      </c>
      <c r="X52" s="23" t="str">
        <f t="shared" si="20"/>
        <v>---</v>
      </c>
      <c r="Y52" s="23" t="str">
        <f t="shared" si="20"/>
        <v>---</v>
      </c>
      <c r="Z52" s="23" t="str">
        <f t="shared" si="20"/>
        <v>---</v>
      </c>
      <c r="AA52" s="23" t="str">
        <f t="shared" si="20"/>
        <v>---</v>
      </c>
      <c r="AB52" s="23" t="str">
        <f t="shared" si="20"/>
        <v>---</v>
      </c>
    </row>
    <row r="53" spans="1:28" ht="15.75" customHeight="1" x14ac:dyDescent="0.3">
      <c r="A53" s="21" t="s">
        <v>45</v>
      </c>
      <c r="B53" s="22">
        <v>80.992000000000004</v>
      </c>
      <c r="C53" s="22">
        <v>110.31</v>
      </c>
      <c r="D53" s="22">
        <v>90.96</v>
      </c>
      <c r="E53" s="22">
        <v>128.71899999999999</v>
      </c>
      <c r="F53" s="22">
        <v>129.488</v>
      </c>
      <c r="G53" s="22">
        <v>119.598</v>
      </c>
      <c r="H53" s="22">
        <v>97.542000000000002</v>
      </c>
      <c r="I53" s="22">
        <v>99.08</v>
      </c>
      <c r="J53" s="22">
        <v>97.736999999999995</v>
      </c>
      <c r="K53" s="25">
        <f t="shared" si="21"/>
        <v>0.71023808479852679</v>
      </c>
      <c r="L53" s="25">
        <f t="shared" si="22"/>
        <v>0.79468910517329572</v>
      </c>
      <c r="M53" s="25">
        <f t="shared" si="23"/>
        <v>0.70765616126095976</v>
      </c>
      <c r="N53" s="25">
        <f t="shared" si="24"/>
        <v>0.67706930651405484</v>
      </c>
      <c r="O53" s="25">
        <f t="shared" si="25"/>
        <v>0.69605229207878205</v>
      </c>
      <c r="P53" s="25">
        <f t="shared" si="26"/>
        <v>0.677056678970132</v>
      </c>
      <c r="Q53" s="25">
        <f t="shared" si="27"/>
        <v>0.63363236564657888</v>
      </c>
      <c r="R53" s="25">
        <f t="shared" si="28"/>
        <v>0.65018242906265578</v>
      </c>
      <c r="S53" s="25">
        <f t="shared" si="29"/>
        <v>0.73132898842438432</v>
      </c>
      <c r="T53" s="23">
        <f t="shared" si="20"/>
        <v>0.73422173873628871</v>
      </c>
      <c r="U53" s="23">
        <f t="shared" si="20"/>
        <v>1.2127308707124012</v>
      </c>
      <c r="V53" s="23">
        <f t="shared" si="20"/>
        <v>0.70665558309185128</v>
      </c>
      <c r="W53" s="23">
        <f t="shared" si="20"/>
        <v>0.9940612257506487</v>
      </c>
      <c r="X53" s="23">
        <f t="shared" si="20"/>
        <v>1.082693690529942</v>
      </c>
      <c r="Y53" s="23">
        <f t="shared" si="20"/>
        <v>1.2261179799470996</v>
      </c>
      <c r="Z53" s="23">
        <f t="shared" si="20"/>
        <v>0.98447719014937429</v>
      </c>
      <c r="AA53" s="23">
        <f t="shared" si="20"/>
        <v>1.0137409578767509</v>
      </c>
      <c r="AB53" s="23">
        <f t="shared" si="20"/>
        <v>137.61160108405767</v>
      </c>
    </row>
    <row r="54" spans="1:28" ht="15.75" customHeight="1" x14ac:dyDescent="0.3">
      <c r="A54" s="21" t="s">
        <v>46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f t="shared" si="21"/>
        <v>0</v>
      </c>
      <c r="L54" s="22">
        <f t="shared" si="22"/>
        <v>0</v>
      </c>
      <c r="M54" s="22">
        <f t="shared" si="23"/>
        <v>0</v>
      </c>
      <c r="N54" s="22">
        <f t="shared" si="24"/>
        <v>0</v>
      </c>
      <c r="O54" s="22">
        <f t="shared" si="25"/>
        <v>0</v>
      </c>
      <c r="P54" s="22">
        <f t="shared" si="26"/>
        <v>0</v>
      </c>
      <c r="Q54" s="22">
        <f t="shared" si="27"/>
        <v>0</v>
      </c>
      <c r="R54" s="22">
        <f t="shared" si="28"/>
        <v>0</v>
      </c>
      <c r="S54" s="22">
        <f t="shared" si="29"/>
        <v>0</v>
      </c>
      <c r="T54" s="23" t="str">
        <f t="shared" ref="T54:AB69" si="30">IF(C54=0,"---",B54/C54)</f>
        <v>---</v>
      </c>
      <c r="U54" s="23" t="str">
        <f t="shared" si="30"/>
        <v>---</v>
      </c>
      <c r="V54" s="23" t="str">
        <f t="shared" si="30"/>
        <v>---</v>
      </c>
      <c r="W54" s="23" t="str">
        <f t="shared" si="30"/>
        <v>---</v>
      </c>
      <c r="X54" s="23" t="str">
        <f t="shared" si="30"/>
        <v>---</v>
      </c>
      <c r="Y54" s="23" t="str">
        <f t="shared" si="30"/>
        <v>---</v>
      </c>
      <c r="Z54" s="23" t="str">
        <f t="shared" si="30"/>
        <v>---</v>
      </c>
      <c r="AA54" s="23" t="str">
        <f t="shared" si="30"/>
        <v>---</v>
      </c>
      <c r="AB54" s="23" t="str">
        <f t="shared" si="30"/>
        <v>---</v>
      </c>
    </row>
    <row r="55" spans="1:28" ht="15.75" customHeight="1" x14ac:dyDescent="0.3">
      <c r="A55" s="29" t="s">
        <v>47</v>
      </c>
      <c r="B55" s="30">
        <v>80.992000000000004</v>
      </c>
      <c r="C55" s="30">
        <v>110.31</v>
      </c>
      <c r="D55" s="30">
        <v>90.96</v>
      </c>
      <c r="E55" s="30">
        <v>128.71899999999999</v>
      </c>
      <c r="F55" s="30">
        <v>129.488</v>
      </c>
      <c r="G55" s="30">
        <v>119.598</v>
      </c>
      <c r="H55" s="30">
        <v>97.542000000000002</v>
      </c>
      <c r="I55" s="30">
        <v>99.08</v>
      </c>
      <c r="J55" s="30">
        <v>97.736999999999995</v>
      </c>
      <c r="K55" s="31">
        <f t="shared" si="21"/>
        <v>0.71023808479852679</v>
      </c>
      <c r="L55" s="31">
        <f t="shared" si="22"/>
        <v>0.79468910517329572</v>
      </c>
      <c r="M55" s="31">
        <f t="shared" si="23"/>
        <v>0.70765616126095976</v>
      </c>
      <c r="N55" s="31">
        <f t="shared" si="24"/>
        <v>0.67706930651405484</v>
      </c>
      <c r="O55" s="31">
        <f t="shared" si="25"/>
        <v>0.69605229207878205</v>
      </c>
      <c r="P55" s="31">
        <f t="shared" si="26"/>
        <v>0.677056678970132</v>
      </c>
      <c r="Q55" s="31">
        <f t="shared" si="27"/>
        <v>0.63363236564657888</v>
      </c>
      <c r="R55" s="31">
        <f t="shared" si="28"/>
        <v>0.65018242906265578</v>
      </c>
      <c r="S55" s="31">
        <f t="shared" si="29"/>
        <v>0.73132898842438432</v>
      </c>
      <c r="T55" s="23">
        <f t="shared" si="30"/>
        <v>0.73422173873628871</v>
      </c>
      <c r="U55" s="23">
        <f t="shared" si="30"/>
        <v>1.2127308707124012</v>
      </c>
      <c r="V55" s="23">
        <f t="shared" si="30"/>
        <v>0.70665558309185128</v>
      </c>
      <c r="W55" s="23">
        <f t="shared" si="30"/>
        <v>0.9940612257506487</v>
      </c>
      <c r="X55" s="23">
        <f t="shared" si="30"/>
        <v>1.082693690529942</v>
      </c>
      <c r="Y55" s="23">
        <f t="shared" si="30"/>
        <v>1.2261179799470996</v>
      </c>
      <c r="Z55" s="23">
        <f t="shared" si="30"/>
        <v>0.98447719014937429</v>
      </c>
      <c r="AA55" s="23">
        <f t="shared" si="30"/>
        <v>1.0137409578767509</v>
      </c>
      <c r="AB55" s="23">
        <f t="shared" si="30"/>
        <v>137.61160108405767</v>
      </c>
    </row>
    <row r="56" spans="1:28" ht="15.75" customHeight="1" x14ac:dyDescent="0.3">
      <c r="A56" s="40" t="s">
        <v>48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23" t="str">
        <f t="shared" si="30"/>
        <v>---</v>
      </c>
      <c r="U56" s="23" t="str">
        <f t="shared" si="30"/>
        <v>---</v>
      </c>
      <c r="V56" s="23" t="str">
        <f t="shared" si="30"/>
        <v>---</v>
      </c>
      <c r="W56" s="23" t="str">
        <f t="shared" si="30"/>
        <v>---</v>
      </c>
      <c r="X56" s="23" t="str">
        <f t="shared" si="30"/>
        <v>---</v>
      </c>
      <c r="Y56" s="23" t="str">
        <f t="shared" si="30"/>
        <v>---</v>
      </c>
      <c r="Z56" s="23" t="str">
        <f t="shared" si="30"/>
        <v>---</v>
      </c>
      <c r="AA56" s="23" t="str">
        <f t="shared" si="30"/>
        <v>---</v>
      </c>
      <c r="AB56" s="23" t="str">
        <f t="shared" si="30"/>
        <v>---</v>
      </c>
    </row>
    <row r="57" spans="1:28" ht="15.75" customHeight="1" x14ac:dyDescent="0.3">
      <c r="A57" s="21" t="s">
        <v>35</v>
      </c>
      <c r="B57" s="41">
        <v>20.402000000000001</v>
      </c>
      <c r="C57" s="41">
        <v>12.659000000000001</v>
      </c>
      <c r="D57" s="41">
        <v>23.335000000000001</v>
      </c>
      <c r="E57" s="41">
        <v>44.064999999999998</v>
      </c>
      <c r="F57" s="41">
        <v>34.334000000000003</v>
      </c>
      <c r="G57" s="42">
        <v>49.243000000000002</v>
      </c>
      <c r="H57" s="42">
        <v>51.290999999999997</v>
      </c>
      <c r="I57" s="41">
        <v>46.975999999999999</v>
      </c>
      <c r="J57" s="41">
        <v>28.123000000000001</v>
      </c>
      <c r="K57" s="25">
        <f t="shared" ref="K57:K65" si="31">B57/$B$69</f>
        <v>0.17890998377691061</v>
      </c>
      <c r="L57" s="25">
        <f t="shared" ref="L57:L65" si="32">C57/$C$69</f>
        <v>9.1197256662032003E-2</v>
      </c>
      <c r="M57" s="25">
        <f t="shared" ref="M57:M65" si="33">D57/$D$69</f>
        <v>0.18154305764099052</v>
      </c>
      <c r="N57" s="25">
        <f t="shared" ref="N57:N65" si="34">E57/$E$69</f>
        <v>0.23178442181450934</v>
      </c>
      <c r="O57" s="25">
        <f t="shared" ref="O57:O65" si="35">F57/$F$69</f>
        <v>0.18455964565236088</v>
      </c>
      <c r="P57" s="25">
        <f t="shared" ref="P57:P65" si="36">G57/$G$69</f>
        <v>0.27876972894635538</v>
      </c>
      <c r="Q57" s="25">
        <f t="shared" ref="Q57:Q65" si="37">H57/$H$69</f>
        <v>0.33318609077503714</v>
      </c>
      <c r="R57" s="25">
        <f t="shared" ref="R57:R65" si="38">I57/$I$69</f>
        <v>0.30826574270939966</v>
      </c>
      <c r="S57" s="25">
        <f t="shared" ref="S57:S65" si="39">J57/$J$69</f>
        <v>0.21043376757480753</v>
      </c>
      <c r="T57" s="23">
        <f t="shared" si="30"/>
        <v>1.6116596887589858</v>
      </c>
      <c r="U57" s="23">
        <f t="shared" si="30"/>
        <v>0.5424898221555603</v>
      </c>
      <c r="V57" s="23">
        <f t="shared" si="30"/>
        <v>0.52955860660388065</v>
      </c>
      <c r="W57" s="23">
        <f t="shared" si="30"/>
        <v>1.2834216811324051</v>
      </c>
      <c r="X57" s="23">
        <f t="shared" si="30"/>
        <v>0.69723615539264472</v>
      </c>
      <c r="Y57" s="23">
        <f t="shared" si="30"/>
        <v>0.96007096761615107</v>
      </c>
      <c r="Z57" s="23">
        <f t="shared" si="30"/>
        <v>1.0918554155313351</v>
      </c>
      <c r="AA57" s="23">
        <f t="shared" si="30"/>
        <v>1.670376560110941</v>
      </c>
      <c r="AB57" s="23">
        <f t="shared" si="30"/>
        <v>157.19078056072934</v>
      </c>
    </row>
    <row r="58" spans="1:28" ht="15.75" customHeight="1" x14ac:dyDescent="0.3">
      <c r="A58" s="21" t="s">
        <v>36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f t="shared" si="31"/>
        <v>0</v>
      </c>
      <c r="L58" s="22">
        <f t="shared" si="32"/>
        <v>0</v>
      </c>
      <c r="M58" s="22">
        <f t="shared" si="33"/>
        <v>0</v>
      </c>
      <c r="N58" s="22">
        <f t="shared" si="34"/>
        <v>0</v>
      </c>
      <c r="O58" s="22">
        <f t="shared" si="35"/>
        <v>0</v>
      </c>
      <c r="P58" s="22">
        <f t="shared" si="36"/>
        <v>0</v>
      </c>
      <c r="Q58" s="22">
        <f t="shared" si="37"/>
        <v>0</v>
      </c>
      <c r="R58" s="22">
        <f t="shared" si="38"/>
        <v>0</v>
      </c>
      <c r="S58" s="22">
        <f t="shared" si="39"/>
        <v>0</v>
      </c>
      <c r="T58" s="23" t="str">
        <f t="shared" si="30"/>
        <v>---</v>
      </c>
      <c r="U58" s="23" t="str">
        <f t="shared" si="30"/>
        <v>---</v>
      </c>
      <c r="V58" s="23" t="str">
        <f t="shared" si="30"/>
        <v>---</v>
      </c>
      <c r="W58" s="23" t="str">
        <f t="shared" si="30"/>
        <v>---</v>
      </c>
      <c r="X58" s="23" t="str">
        <f t="shared" si="30"/>
        <v>---</v>
      </c>
      <c r="Y58" s="23" t="str">
        <f t="shared" si="30"/>
        <v>---</v>
      </c>
      <c r="Z58" s="23" t="str">
        <f t="shared" si="30"/>
        <v>---</v>
      </c>
      <c r="AA58" s="23" t="str">
        <f t="shared" si="30"/>
        <v>---</v>
      </c>
      <c r="AB58" s="23" t="str">
        <f t="shared" si="30"/>
        <v>---</v>
      </c>
    </row>
    <row r="59" spans="1:28" ht="15.75" customHeight="1" x14ac:dyDescent="0.3">
      <c r="A59" s="21" t="s">
        <v>37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f t="shared" si="31"/>
        <v>0</v>
      </c>
      <c r="L59" s="22">
        <f t="shared" si="32"/>
        <v>0</v>
      </c>
      <c r="M59" s="22">
        <f t="shared" si="33"/>
        <v>0</v>
      </c>
      <c r="N59" s="22">
        <f t="shared" si="34"/>
        <v>0</v>
      </c>
      <c r="O59" s="22">
        <f t="shared" si="35"/>
        <v>0</v>
      </c>
      <c r="P59" s="22">
        <f t="shared" si="36"/>
        <v>0</v>
      </c>
      <c r="Q59" s="22">
        <f t="shared" si="37"/>
        <v>0</v>
      </c>
      <c r="R59" s="22">
        <f t="shared" si="38"/>
        <v>0</v>
      </c>
      <c r="S59" s="22">
        <f t="shared" si="39"/>
        <v>0</v>
      </c>
      <c r="T59" s="23" t="str">
        <f t="shared" si="30"/>
        <v>---</v>
      </c>
      <c r="U59" s="23" t="str">
        <f t="shared" si="30"/>
        <v>---</v>
      </c>
      <c r="V59" s="23" t="str">
        <f t="shared" si="30"/>
        <v>---</v>
      </c>
      <c r="W59" s="23" t="str">
        <f t="shared" si="30"/>
        <v>---</v>
      </c>
      <c r="X59" s="23" t="str">
        <f t="shared" si="30"/>
        <v>---</v>
      </c>
      <c r="Y59" s="23" t="str">
        <f t="shared" si="30"/>
        <v>---</v>
      </c>
      <c r="Z59" s="23" t="str">
        <f t="shared" si="30"/>
        <v>---</v>
      </c>
      <c r="AA59" s="23" t="str">
        <f t="shared" si="30"/>
        <v>---</v>
      </c>
      <c r="AB59" s="23" t="str">
        <f t="shared" si="30"/>
        <v>---</v>
      </c>
    </row>
    <row r="60" spans="1:28" ht="15.75" customHeight="1" x14ac:dyDescent="0.3">
      <c r="A60" s="21" t="s">
        <v>38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f t="shared" si="31"/>
        <v>0</v>
      </c>
      <c r="L60" s="22">
        <f t="shared" si="32"/>
        <v>0</v>
      </c>
      <c r="M60" s="22">
        <f t="shared" si="33"/>
        <v>0</v>
      </c>
      <c r="N60" s="22">
        <f t="shared" si="34"/>
        <v>0</v>
      </c>
      <c r="O60" s="22">
        <f t="shared" si="35"/>
        <v>0</v>
      </c>
      <c r="P60" s="22">
        <f t="shared" si="36"/>
        <v>0</v>
      </c>
      <c r="Q60" s="22">
        <f t="shared" si="37"/>
        <v>0</v>
      </c>
      <c r="R60" s="22">
        <f t="shared" si="38"/>
        <v>0</v>
      </c>
      <c r="S60" s="22">
        <f t="shared" si="39"/>
        <v>0</v>
      </c>
      <c r="T60" s="23" t="str">
        <f t="shared" si="30"/>
        <v>---</v>
      </c>
      <c r="U60" s="23" t="str">
        <f t="shared" si="30"/>
        <v>---</v>
      </c>
      <c r="V60" s="23" t="str">
        <f t="shared" si="30"/>
        <v>---</v>
      </c>
      <c r="W60" s="23" t="str">
        <f t="shared" si="30"/>
        <v>---</v>
      </c>
      <c r="X60" s="23" t="str">
        <f t="shared" si="30"/>
        <v>---</v>
      </c>
      <c r="Y60" s="23" t="str">
        <f t="shared" si="30"/>
        <v>---</v>
      </c>
      <c r="Z60" s="23" t="str">
        <f t="shared" si="30"/>
        <v>---</v>
      </c>
      <c r="AA60" s="23" t="str">
        <f t="shared" si="30"/>
        <v>---</v>
      </c>
      <c r="AB60" s="23" t="str">
        <f t="shared" si="30"/>
        <v>---</v>
      </c>
    </row>
    <row r="61" spans="1:28" ht="15.75" customHeight="1" x14ac:dyDescent="0.3">
      <c r="A61" s="21" t="s">
        <v>39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f t="shared" si="31"/>
        <v>0</v>
      </c>
      <c r="L61" s="22">
        <f t="shared" si="32"/>
        <v>0</v>
      </c>
      <c r="M61" s="22">
        <f t="shared" si="33"/>
        <v>0</v>
      </c>
      <c r="N61" s="22">
        <f t="shared" si="34"/>
        <v>0</v>
      </c>
      <c r="O61" s="22">
        <f t="shared" si="35"/>
        <v>0</v>
      </c>
      <c r="P61" s="22">
        <f t="shared" si="36"/>
        <v>0</v>
      </c>
      <c r="Q61" s="22">
        <f t="shared" si="37"/>
        <v>0</v>
      </c>
      <c r="R61" s="22">
        <f t="shared" si="38"/>
        <v>0</v>
      </c>
      <c r="S61" s="22">
        <f t="shared" si="39"/>
        <v>0</v>
      </c>
      <c r="T61" s="23" t="str">
        <f t="shared" si="30"/>
        <v>---</v>
      </c>
      <c r="U61" s="23" t="str">
        <f t="shared" si="30"/>
        <v>---</v>
      </c>
      <c r="V61" s="23" t="str">
        <f t="shared" si="30"/>
        <v>---</v>
      </c>
      <c r="W61" s="23" t="str">
        <f t="shared" si="30"/>
        <v>---</v>
      </c>
      <c r="X61" s="23" t="str">
        <f t="shared" si="30"/>
        <v>---</v>
      </c>
      <c r="Y61" s="23" t="str">
        <f t="shared" si="30"/>
        <v>---</v>
      </c>
      <c r="Z61" s="23" t="str">
        <f t="shared" si="30"/>
        <v>---</v>
      </c>
      <c r="AA61" s="23" t="str">
        <f t="shared" si="30"/>
        <v>---</v>
      </c>
      <c r="AB61" s="23" t="str">
        <f t="shared" si="30"/>
        <v>---</v>
      </c>
    </row>
    <row r="62" spans="1:28" ht="15.75" customHeight="1" x14ac:dyDescent="0.3">
      <c r="A62" s="21" t="s">
        <v>40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f t="shared" si="31"/>
        <v>0</v>
      </c>
      <c r="L62" s="22">
        <f t="shared" si="32"/>
        <v>0</v>
      </c>
      <c r="M62" s="22">
        <f t="shared" si="33"/>
        <v>0</v>
      </c>
      <c r="N62" s="22">
        <f t="shared" si="34"/>
        <v>0</v>
      </c>
      <c r="O62" s="22">
        <f t="shared" si="35"/>
        <v>0</v>
      </c>
      <c r="P62" s="22">
        <f t="shared" si="36"/>
        <v>0</v>
      </c>
      <c r="Q62" s="22">
        <f t="shared" si="37"/>
        <v>0</v>
      </c>
      <c r="R62" s="22">
        <f t="shared" si="38"/>
        <v>0</v>
      </c>
      <c r="S62" s="22">
        <f t="shared" si="39"/>
        <v>0</v>
      </c>
      <c r="T62" s="23" t="str">
        <f t="shared" si="30"/>
        <v>---</v>
      </c>
      <c r="U62" s="23" t="str">
        <f t="shared" si="30"/>
        <v>---</v>
      </c>
      <c r="V62" s="23" t="str">
        <f t="shared" si="30"/>
        <v>---</v>
      </c>
      <c r="W62" s="23" t="str">
        <f t="shared" si="30"/>
        <v>---</v>
      </c>
      <c r="X62" s="23" t="str">
        <f t="shared" si="30"/>
        <v>---</v>
      </c>
      <c r="Y62" s="23" t="str">
        <f t="shared" si="30"/>
        <v>---</v>
      </c>
      <c r="Z62" s="23" t="str">
        <f t="shared" si="30"/>
        <v>---</v>
      </c>
      <c r="AA62" s="23" t="str">
        <f t="shared" si="30"/>
        <v>---</v>
      </c>
      <c r="AB62" s="23" t="str">
        <f t="shared" si="30"/>
        <v>---</v>
      </c>
    </row>
    <row r="63" spans="1:28" ht="15.75" customHeight="1" x14ac:dyDescent="0.3">
      <c r="A63" s="21" t="s">
        <v>41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f t="shared" si="31"/>
        <v>0</v>
      </c>
      <c r="L63" s="22">
        <f t="shared" si="32"/>
        <v>0</v>
      </c>
      <c r="M63" s="22">
        <f t="shared" si="33"/>
        <v>0</v>
      </c>
      <c r="N63" s="22">
        <f t="shared" si="34"/>
        <v>0</v>
      </c>
      <c r="O63" s="22">
        <f t="shared" si="35"/>
        <v>0</v>
      </c>
      <c r="P63" s="22">
        <f t="shared" si="36"/>
        <v>0</v>
      </c>
      <c r="Q63" s="22">
        <f t="shared" si="37"/>
        <v>0</v>
      </c>
      <c r="R63" s="22">
        <f t="shared" si="38"/>
        <v>0</v>
      </c>
      <c r="S63" s="22">
        <f t="shared" si="39"/>
        <v>0</v>
      </c>
      <c r="T63" s="23" t="str">
        <f t="shared" si="30"/>
        <v>---</v>
      </c>
      <c r="U63" s="23" t="str">
        <f t="shared" si="30"/>
        <v>---</v>
      </c>
      <c r="V63" s="23" t="str">
        <f t="shared" si="30"/>
        <v>---</v>
      </c>
      <c r="W63" s="23" t="str">
        <f t="shared" si="30"/>
        <v>---</v>
      </c>
      <c r="X63" s="23" t="str">
        <f t="shared" si="30"/>
        <v>---</v>
      </c>
      <c r="Y63" s="23" t="str">
        <f t="shared" si="30"/>
        <v>---</v>
      </c>
      <c r="Z63" s="23" t="str">
        <f t="shared" si="30"/>
        <v>---</v>
      </c>
      <c r="AA63" s="23" t="str">
        <f t="shared" si="30"/>
        <v>---</v>
      </c>
      <c r="AB63" s="23" t="str">
        <f t="shared" si="30"/>
        <v>---</v>
      </c>
    </row>
    <row r="64" spans="1:28" ht="15.75" customHeight="1" x14ac:dyDescent="0.3">
      <c r="A64" s="21" t="s">
        <v>42</v>
      </c>
      <c r="B64" s="22">
        <v>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f t="shared" si="31"/>
        <v>0</v>
      </c>
      <c r="L64" s="22">
        <f t="shared" si="32"/>
        <v>0</v>
      </c>
      <c r="M64" s="22">
        <f t="shared" si="33"/>
        <v>0</v>
      </c>
      <c r="N64" s="22">
        <f t="shared" si="34"/>
        <v>0</v>
      </c>
      <c r="O64" s="22">
        <f t="shared" si="35"/>
        <v>0</v>
      </c>
      <c r="P64" s="22">
        <f t="shared" si="36"/>
        <v>0</v>
      </c>
      <c r="Q64" s="22">
        <f t="shared" si="37"/>
        <v>0</v>
      </c>
      <c r="R64" s="22">
        <f t="shared" si="38"/>
        <v>0</v>
      </c>
      <c r="S64" s="22">
        <f t="shared" si="39"/>
        <v>0</v>
      </c>
      <c r="T64" s="23" t="str">
        <f t="shared" si="30"/>
        <v>---</v>
      </c>
      <c r="U64" s="23" t="str">
        <f t="shared" si="30"/>
        <v>---</v>
      </c>
      <c r="V64" s="23" t="str">
        <f t="shared" si="30"/>
        <v>---</v>
      </c>
      <c r="W64" s="23" t="str">
        <f t="shared" si="30"/>
        <v>---</v>
      </c>
      <c r="X64" s="23" t="str">
        <f t="shared" si="30"/>
        <v>---</v>
      </c>
      <c r="Y64" s="23" t="str">
        <f t="shared" si="30"/>
        <v>---</v>
      </c>
      <c r="Z64" s="23" t="str">
        <f t="shared" si="30"/>
        <v>---</v>
      </c>
      <c r="AA64" s="23" t="str">
        <f t="shared" si="30"/>
        <v>---</v>
      </c>
      <c r="AB64" s="23" t="str">
        <f t="shared" si="30"/>
        <v>---</v>
      </c>
    </row>
    <row r="65" spans="1:28" ht="15.75" customHeight="1" x14ac:dyDescent="0.3">
      <c r="A65" s="21" t="s">
        <v>49</v>
      </c>
      <c r="B65" s="41">
        <v>12.641</v>
      </c>
      <c r="C65" s="41">
        <v>15.84</v>
      </c>
      <c r="D65" s="41">
        <v>14.242000000000001</v>
      </c>
      <c r="E65" s="41">
        <v>17.327999999999999</v>
      </c>
      <c r="F65" s="41">
        <v>22.21</v>
      </c>
      <c r="G65" s="42">
        <v>7.8029999999999999</v>
      </c>
      <c r="H65" s="42">
        <v>5.1079999999999997</v>
      </c>
      <c r="I65" s="41">
        <v>6.3319999999999999</v>
      </c>
      <c r="J65" s="41">
        <v>7.7830000000000004</v>
      </c>
      <c r="K65" s="25">
        <f t="shared" si="31"/>
        <v>0.11085193142456264</v>
      </c>
      <c r="L65" s="25">
        <f t="shared" si="32"/>
        <v>0.11411363816467232</v>
      </c>
      <c r="M65" s="25">
        <f t="shared" si="33"/>
        <v>0.1108007810980496</v>
      </c>
      <c r="N65" s="25">
        <f t="shared" si="34"/>
        <v>9.1146271671435783E-2</v>
      </c>
      <c r="O65" s="25">
        <f t="shared" si="35"/>
        <v>0.11938806226885697</v>
      </c>
      <c r="P65" s="25">
        <f t="shared" si="36"/>
        <v>4.4173592083512597E-2</v>
      </c>
      <c r="Q65" s="25">
        <f t="shared" si="37"/>
        <v>3.3181543578383925E-2</v>
      </c>
      <c r="R65" s="25">
        <f t="shared" si="38"/>
        <v>4.1551828227944454E-2</v>
      </c>
      <c r="S65" s="25">
        <f t="shared" si="39"/>
        <v>5.8237244000808125E-2</v>
      </c>
      <c r="T65" s="23">
        <f t="shared" si="30"/>
        <v>0.7980429292929293</v>
      </c>
      <c r="U65" s="23">
        <f t="shared" si="30"/>
        <v>1.1122033422272153</v>
      </c>
      <c r="V65" s="23">
        <f t="shared" si="30"/>
        <v>0.82190674053554946</v>
      </c>
      <c r="W65" s="23">
        <f t="shared" si="30"/>
        <v>0.78018910400720387</v>
      </c>
      <c r="X65" s="23">
        <f t="shared" si="30"/>
        <v>2.8463411508394207</v>
      </c>
      <c r="Y65" s="23">
        <f t="shared" si="30"/>
        <v>1.5276037588097104</v>
      </c>
      <c r="Z65" s="23">
        <f t="shared" si="30"/>
        <v>0.80669614655716992</v>
      </c>
      <c r="AA65" s="23">
        <f t="shared" si="30"/>
        <v>0.81356803289220092</v>
      </c>
      <c r="AB65" s="23">
        <f t="shared" si="30"/>
        <v>70.210774859583893</v>
      </c>
    </row>
    <row r="66" spans="1:28" ht="15.75" customHeight="1" x14ac:dyDescent="0.3">
      <c r="A66" s="21" t="s">
        <v>50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3" t="str">
        <f t="shared" si="30"/>
        <v>---</v>
      </c>
      <c r="U66" s="23" t="str">
        <f t="shared" si="30"/>
        <v>---</v>
      </c>
      <c r="V66" s="23" t="str">
        <f t="shared" si="30"/>
        <v>---</v>
      </c>
      <c r="W66" s="23" t="str">
        <f t="shared" si="30"/>
        <v>---</v>
      </c>
      <c r="X66" s="23" t="str">
        <f t="shared" si="30"/>
        <v>---</v>
      </c>
      <c r="Y66" s="23" t="str">
        <f t="shared" si="30"/>
        <v>---</v>
      </c>
      <c r="Z66" s="23" t="str">
        <f t="shared" si="30"/>
        <v>---</v>
      </c>
      <c r="AA66" s="23" t="str">
        <f t="shared" si="30"/>
        <v>---</v>
      </c>
      <c r="AB66" s="23" t="str">
        <f t="shared" si="30"/>
        <v>---</v>
      </c>
    </row>
    <row r="67" spans="1:28" ht="15.75" customHeight="1" x14ac:dyDescent="0.3">
      <c r="A67" s="21" t="s">
        <v>44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3" t="str">
        <f t="shared" si="30"/>
        <v>---</v>
      </c>
      <c r="U67" s="23" t="str">
        <f t="shared" si="30"/>
        <v>---</v>
      </c>
      <c r="V67" s="23" t="str">
        <f t="shared" si="30"/>
        <v>---</v>
      </c>
      <c r="W67" s="23" t="str">
        <f t="shared" si="30"/>
        <v>---</v>
      </c>
      <c r="X67" s="23" t="str">
        <f t="shared" si="30"/>
        <v>---</v>
      </c>
      <c r="Y67" s="23" t="str">
        <f t="shared" si="30"/>
        <v>---</v>
      </c>
      <c r="Z67" s="23" t="str">
        <f t="shared" si="30"/>
        <v>---</v>
      </c>
      <c r="AA67" s="23" t="str">
        <f t="shared" si="30"/>
        <v>---</v>
      </c>
      <c r="AB67" s="23" t="str">
        <f t="shared" si="30"/>
        <v>---</v>
      </c>
    </row>
    <row r="68" spans="1:28" ht="15.75" customHeight="1" x14ac:dyDescent="0.3">
      <c r="A68" s="29" t="s">
        <v>51</v>
      </c>
      <c r="B68" s="30">
        <v>33.042999999999999</v>
      </c>
      <c r="C68" s="30">
        <v>28.498999999999999</v>
      </c>
      <c r="D68" s="30">
        <v>37.576999999999998</v>
      </c>
      <c r="E68" s="30">
        <v>61.393000000000001</v>
      </c>
      <c r="F68" s="30">
        <v>56.543999999999997</v>
      </c>
      <c r="G68" s="30">
        <v>57.045999999999999</v>
      </c>
      <c r="H68" s="30">
        <v>56.399000000000001</v>
      </c>
      <c r="I68" s="30">
        <v>53.308</v>
      </c>
      <c r="J68" s="30">
        <v>35.905999999999999</v>
      </c>
      <c r="K68" s="31">
        <f t="shared" ref="K68:K69" si="40">B68/$B$69</f>
        <v>0.28976191520147321</v>
      </c>
      <c r="L68" s="31">
        <f t="shared" ref="L68:L69" si="41">C68/$C$69</f>
        <v>0.20531089482670431</v>
      </c>
      <c r="M68" s="31">
        <f t="shared" ref="M68:M69" si="42">D68/$D$69</f>
        <v>0.29234383873904007</v>
      </c>
      <c r="N68" s="31">
        <f t="shared" ref="N68:N69" si="43">E68/$E$69</f>
        <v>0.32293069348594516</v>
      </c>
      <c r="O68" s="31">
        <f t="shared" ref="O68:O69" si="44">F68/$F$69</f>
        <v>0.30394770792121784</v>
      </c>
      <c r="P68" s="31">
        <f t="shared" ref="P68:P69" si="45">G68/$G$69</f>
        <v>0.32294332102986795</v>
      </c>
      <c r="Q68" s="31">
        <f t="shared" ref="Q68:Q69" si="46">H68/$H$69</f>
        <v>0.36636763435342112</v>
      </c>
      <c r="R68" s="31">
        <f t="shared" ref="R68:R69" si="47">I68/$I$69</f>
        <v>0.34981757093734411</v>
      </c>
      <c r="S68" s="31">
        <f t="shared" ref="S68:S69" si="48">J68/$J$69</f>
        <v>0.26867101157561563</v>
      </c>
      <c r="T68" s="23">
        <f t="shared" si="30"/>
        <v>1.1594441910242466</v>
      </c>
      <c r="U68" s="23">
        <f t="shared" si="30"/>
        <v>0.7584160523724619</v>
      </c>
      <c r="V68" s="23">
        <f t="shared" si="30"/>
        <v>0.61207303764272791</v>
      </c>
      <c r="W68" s="23">
        <f t="shared" si="30"/>
        <v>1.0857562252405206</v>
      </c>
      <c r="X68" s="23">
        <f t="shared" si="30"/>
        <v>0.99120008414262173</v>
      </c>
      <c r="Y68" s="23">
        <f t="shared" si="30"/>
        <v>1.0114718346069966</v>
      </c>
      <c r="Z68" s="23">
        <f t="shared" si="30"/>
        <v>1.0579837923013431</v>
      </c>
      <c r="AA68" s="23">
        <f t="shared" si="30"/>
        <v>1.4846543753133181</v>
      </c>
      <c r="AB68" s="23">
        <f t="shared" si="30"/>
        <v>123.91552552734316</v>
      </c>
    </row>
    <row r="69" spans="1:28" ht="15.75" customHeight="1" x14ac:dyDescent="0.3">
      <c r="A69" s="35" t="s">
        <v>52</v>
      </c>
      <c r="B69" s="36">
        <v>114.035</v>
      </c>
      <c r="C69" s="36">
        <v>138.809</v>
      </c>
      <c r="D69" s="36">
        <v>128.53700000000001</v>
      </c>
      <c r="E69" s="36">
        <v>190.11199999999999</v>
      </c>
      <c r="F69" s="36">
        <v>186.03200000000001</v>
      </c>
      <c r="G69" s="36">
        <v>176.64400000000001</v>
      </c>
      <c r="H69" s="36">
        <v>153.941</v>
      </c>
      <c r="I69" s="36">
        <v>152.38800000000001</v>
      </c>
      <c r="J69" s="36">
        <v>133.643</v>
      </c>
      <c r="K69" s="43">
        <f t="shared" si="40"/>
        <v>1</v>
      </c>
      <c r="L69" s="43">
        <f t="shared" si="41"/>
        <v>1</v>
      </c>
      <c r="M69" s="43">
        <f t="shared" si="42"/>
        <v>1</v>
      </c>
      <c r="N69" s="43">
        <f t="shared" si="43"/>
        <v>1</v>
      </c>
      <c r="O69" s="43">
        <f t="shared" si="44"/>
        <v>1</v>
      </c>
      <c r="P69" s="43">
        <f t="shared" si="45"/>
        <v>1</v>
      </c>
      <c r="Q69" s="43">
        <f t="shared" si="46"/>
        <v>1</v>
      </c>
      <c r="R69" s="43">
        <f t="shared" si="47"/>
        <v>1</v>
      </c>
      <c r="S69" s="43">
        <f t="shared" si="48"/>
        <v>1</v>
      </c>
      <c r="T69" s="23">
        <f t="shared" si="30"/>
        <v>0.82152454091593485</v>
      </c>
      <c r="U69" s="23">
        <f t="shared" si="30"/>
        <v>1.0799147327228735</v>
      </c>
      <c r="V69" s="23">
        <f t="shared" si="30"/>
        <v>0.67611197609829998</v>
      </c>
      <c r="W69" s="23">
        <f t="shared" si="30"/>
        <v>1.0219317106734325</v>
      </c>
      <c r="X69" s="23">
        <f t="shared" si="30"/>
        <v>1.0531464414302212</v>
      </c>
      <c r="Y69" s="23">
        <f t="shared" si="30"/>
        <v>1.1474785794557656</v>
      </c>
      <c r="Z69" s="23">
        <f t="shared" si="30"/>
        <v>1.0101910911620338</v>
      </c>
      <c r="AA69" s="23">
        <f t="shared" si="30"/>
        <v>1.1402617421039636</v>
      </c>
      <c r="AB69" s="23">
        <f t="shared" si="30"/>
        <v>133.643</v>
      </c>
    </row>
    <row r="70" spans="1:28" ht="15.75" customHeight="1" x14ac:dyDescent="0.3">
      <c r="A70" s="32" t="s">
        <v>53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44" t="str">
        <f t="shared" ref="T70:AB79" si="49">IF(C70=0,"---",B70/C70)</f>
        <v>---</v>
      </c>
      <c r="U70" s="23" t="str">
        <f t="shared" si="49"/>
        <v>---</v>
      </c>
      <c r="V70" s="23" t="str">
        <f t="shared" si="49"/>
        <v>---</v>
      </c>
      <c r="W70" s="23" t="str">
        <f t="shared" si="49"/>
        <v>---</v>
      </c>
      <c r="X70" s="23" t="str">
        <f t="shared" si="49"/>
        <v>---</v>
      </c>
      <c r="Y70" s="23" t="str">
        <f t="shared" si="49"/>
        <v>---</v>
      </c>
      <c r="Z70" s="23" t="str">
        <f t="shared" si="49"/>
        <v>---</v>
      </c>
      <c r="AA70" s="23" t="str">
        <f t="shared" si="49"/>
        <v>---</v>
      </c>
      <c r="AB70" s="23" t="str">
        <f t="shared" si="49"/>
        <v>---</v>
      </c>
    </row>
    <row r="71" spans="1:28" ht="15.75" customHeight="1" x14ac:dyDescent="0.3">
      <c r="A71" s="21" t="s">
        <v>54</v>
      </c>
      <c r="B71" s="41">
        <v>102.895</v>
      </c>
      <c r="C71" s="41">
        <v>102.895</v>
      </c>
      <c r="D71" s="41">
        <v>102.895</v>
      </c>
      <c r="E71" s="41">
        <v>102.895</v>
      </c>
      <c r="F71" s="41">
        <v>102.895</v>
      </c>
      <c r="G71" s="42">
        <v>102.895</v>
      </c>
      <c r="H71" s="42">
        <v>102.895</v>
      </c>
      <c r="I71" s="41">
        <v>102.895</v>
      </c>
      <c r="J71" s="41">
        <v>102.895</v>
      </c>
      <c r="K71" s="25">
        <f>B71/$B$78</f>
        <v>0.42775779999584279</v>
      </c>
      <c r="L71" s="25">
        <f>C71/$C$78</f>
        <v>0.44499945940101632</v>
      </c>
      <c r="M71" s="25">
        <f>D71/$D$78</f>
        <v>0.44608948235498136</v>
      </c>
      <c r="N71" s="25">
        <f>E71/$E$78</f>
        <v>0.462000933924819</v>
      </c>
      <c r="O71" s="25">
        <f>F71/$F$78</f>
        <v>0.45795632068291769</v>
      </c>
      <c r="P71" s="25">
        <f>G71/$G$78</f>
        <v>0.57325994060983554</v>
      </c>
      <c r="Q71" s="25">
        <f>H71/$H$78</f>
        <v>0.52581418285322989</v>
      </c>
      <c r="R71" s="25">
        <f>I71/$I$78</f>
        <v>0.51743472663635992</v>
      </c>
      <c r="S71" s="25">
        <f>J71/$J$78</f>
        <v>0.48613112477026943</v>
      </c>
      <c r="T71" s="23">
        <f t="shared" si="49"/>
        <v>1</v>
      </c>
      <c r="U71" s="23">
        <f t="shared" si="49"/>
        <v>1</v>
      </c>
      <c r="V71" s="23">
        <f t="shared" si="49"/>
        <v>1</v>
      </c>
      <c r="W71" s="23">
        <f t="shared" si="49"/>
        <v>1</v>
      </c>
      <c r="X71" s="23">
        <f t="shared" si="49"/>
        <v>1</v>
      </c>
      <c r="Y71" s="23">
        <f t="shared" si="49"/>
        <v>1</v>
      </c>
      <c r="Z71" s="23">
        <f t="shared" si="49"/>
        <v>1</v>
      </c>
      <c r="AA71" s="23">
        <f t="shared" si="49"/>
        <v>1</v>
      </c>
      <c r="AB71" s="23">
        <f t="shared" si="49"/>
        <v>240.54499999999999</v>
      </c>
    </row>
    <row r="72" spans="1:28" ht="15.75" customHeight="1" x14ac:dyDescent="0.3">
      <c r="A72" s="21" t="s">
        <v>55</v>
      </c>
      <c r="B72" s="22">
        <v>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3" t="str">
        <f t="shared" si="49"/>
        <v>---</v>
      </c>
      <c r="U72" s="23" t="str">
        <f t="shared" si="49"/>
        <v>---</v>
      </c>
      <c r="V72" s="23" t="str">
        <f t="shared" si="49"/>
        <v>---</v>
      </c>
      <c r="W72" s="23" t="str">
        <f t="shared" si="49"/>
        <v>---</v>
      </c>
      <c r="X72" s="23" t="str">
        <f t="shared" si="49"/>
        <v>---</v>
      </c>
      <c r="Y72" s="23" t="str">
        <f t="shared" si="49"/>
        <v>---</v>
      </c>
      <c r="Z72" s="23" t="str">
        <f t="shared" si="49"/>
        <v>---</v>
      </c>
      <c r="AA72" s="23" t="str">
        <f t="shared" si="49"/>
        <v>---</v>
      </c>
      <c r="AB72" s="23" t="str">
        <f t="shared" si="49"/>
        <v>---</v>
      </c>
    </row>
    <row r="73" spans="1:28" ht="15.75" customHeight="1" x14ac:dyDescent="0.3">
      <c r="A73" s="21" t="s">
        <v>56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3" t="str">
        <f t="shared" si="49"/>
        <v>---</v>
      </c>
      <c r="U73" s="23" t="str">
        <f t="shared" si="49"/>
        <v>---</v>
      </c>
      <c r="V73" s="23" t="str">
        <f t="shared" si="49"/>
        <v>---</v>
      </c>
      <c r="W73" s="23" t="str">
        <f t="shared" si="49"/>
        <v>---</v>
      </c>
      <c r="X73" s="23" t="str">
        <f t="shared" si="49"/>
        <v>---</v>
      </c>
      <c r="Y73" s="23" t="str">
        <f t="shared" si="49"/>
        <v>---</v>
      </c>
      <c r="Z73" s="23" t="str">
        <f t="shared" si="49"/>
        <v>---</v>
      </c>
      <c r="AA73" s="23" t="str">
        <f t="shared" si="49"/>
        <v>---</v>
      </c>
      <c r="AB73" s="23" t="str">
        <f t="shared" si="49"/>
        <v>---</v>
      </c>
    </row>
    <row r="74" spans="1:28" ht="15.75" customHeight="1" x14ac:dyDescent="0.3">
      <c r="A74" s="21" t="s">
        <v>57</v>
      </c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3" t="str">
        <f t="shared" si="49"/>
        <v>---</v>
      </c>
      <c r="U74" s="23" t="str">
        <f t="shared" si="49"/>
        <v>---</v>
      </c>
      <c r="V74" s="23" t="str">
        <f t="shared" si="49"/>
        <v>---</v>
      </c>
      <c r="W74" s="23" t="str">
        <f t="shared" si="49"/>
        <v>---</v>
      </c>
      <c r="X74" s="23" t="str">
        <f t="shared" si="49"/>
        <v>---</v>
      </c>
      <c r="Y74" s="23" t="str">
        <f t="shared" si="49"/>
        <v>---</v>
      </c>
      <c r="Z74" s="23" t="str">
        <f t="shared" si="49"/>
        <v>---</v>
      </c>
      <c r="AA74" s="23" t="str">
        <f t="shared" si="49"/>
        <v>---</v>
      </c>
      <c r="AB74" s="23" t="str">
        <f t="shared" si="49"/>
        <v>---</v>
      </c>
    </row>
    <row r="75" spans="1:28" ht="15.75" customHeight="1" x14ac:dyDescent="0.3">
      <c r="A75" s="21" t="s">
        <v>58</v>
      </c>
      <c r="B75" s="41">
        <v>10.239000000000001</v>
      </c>
      <c r="C75" s="41">
        <v>9.8439999999999994</v>
      </c>
      <c r="D75" s="41">
        <v>8.734</v>
      </c>
      <c r="E75" s="41">
        <v>8.4160000000000004</v>
      </c>
      <c r="F75" s="41">
        <v>8.4160000000000004</v>
      </c>
      <c r="G75" s="42">
        <v>7.3140000000000001</v>
      </c>
      <c r="H75" s="42">
        <v>7.3140000000000001</v>
      </c>
      <c r="I75" s="41">
        <v>7.3140000000000001</v>
      </c>
      <c r="J75" s="41">
        <v>7.3140000000000001</v>
      </c>
      <c r="K75" s="25">
        <f t="shared" ref="K75:K79" si="50">B75/$B$78</f>
        <v>4.2565840071504296E-2</v>
      </c>
      <c r="L75" s="25">
        <f t="shared" ref="L75:L79" si="51">C75/$C$78</f>
        <v>4.2573251162287815E-2</v>
      </c>
      <c r="M75" s="25">
        <f t="shared" ref="M75:M79" si="52">D75/$D$78</f>
        <v>3.7865256221278072E-2</v>
      </c>
      <c r="N75" s="25">
        <f t="shared" ref="N75:N79" si="53">E75/$E$78</f>
        <v>3.778803498626053E-2</v>
      </c>
      <c r="O75" s="25">
        <f t="shared" ref="O75:O79" si="54">F75/$F$78</f>
        <v>3.7457217501991699E-2</v>
      </c>
      <c r="P75" s="25">
        <f t="shared" ref="P75:P79" si="55">G75/$G$78</f>
        <v>4.0748561209197114E-2</v>
      </c>
      <c r="Q75" s="25">
        <f t="shared" ref="Q75:Q79" si="56">H75/$H$78</f>
        <v>3.7376013736221618E-2</v>
      </c>
      <c r="R75" s="25">
        <f t="shared" ref="R75:R79" si="57">I75/$I$78</f>
        <v>3.6780383795309173E-2</v>
      </c>
      <c r="S75" s="25">
        <f t="shared" ref="S75:S79" si="58">J75/$J$78</f>
        <v>3.4555255809998062E-2</v>
      </c>
      <c r="T75" s="23">
        <f t="shared" si="49"/>
        <v>1.040125965054856</v>
      </c>
      <c r="U75" s="23">
        <f t="shared" si="49"/>
        <v>1.1270895351499886</v>
      </c>
      <c r="V75" s="23">
        <f t="shared" si="49"/>
        <v>1.0377851711026616</v>
      </c>
      <c r="W75" s="23">
        <f t="shared" si="49"/>
        <v>1</v>
      </c>
      <c r="X75" s="23">
        <f t="shared" si="49"/>
        <v>1.1506699480448455</v>
      </c>
      <c r="Y75" s="23">
        <f t="shared" si="49"/>
        <v>1</v>
      </c>
      <c r="Z75" s="23">
        <f t="shared" si="49"/>
        <v>1</v>
      </c>
      <c r="AA75" s="23">
        <f t="shared" si="49"/>
        <v>1</v>
      </c>
      <c r="AB75" s="23">
        <f t="shared" si="49"/>
        <v>171.82792557866978</v>
      </c>
    </row>
    <row r="76" spans="1:28" ht="15.75" customHeight="1" x14ac:dyDescent="0.3">
      <c r="A76" s="21" t="s">
        <v>59</v>
      </c>
      <c r="B76" s="41">
        <v>42.908999999999999</v>
      </c>
      <c r="C76" s="41">
        <v>21.172999999999998</v>
      </c>
      <c r="D76" s="41">
        <v>22.13</v>
      </c>
      <c r="E76" s="41">
        <v>573</v>
      </c>
      <c r="F76" s="41">
        <v>4.1509999999999998</v>
      </c>
      <c r="G76" s="42">
        <v>-5.7670000000000003</v>
      </c>
      <c r="H76" s="42">
        <v>-4.9589999999999996</v>
      </c>
      <c r="I76" s="41">
        <v>-1.3919999999999999</v>
      </c>
      <c r="J76" s="41">
        <v>11.494999999999999</v>
      </c>
      <c r="K76" s="25">
        <f t="shared" si="50"/>
        <v>0.17838242324720946</v>
      </c>
      <c r="L76" s="25">
        <f t="shared" si="51"/>
        <v>9.1568818250621686E-2</v>
      </c>
      <c r="M76" s="25">
        <f t="shared" si="52"/>
        <v>9.59420792508454E-2</v>
      </c>
      <c r="N76" s="25">
        <f t="shared" si="53"/>
        <v>2.5727832755617017</v>
      </c>
      <c r="O76" s="25">
        <f t="shared" si="54"/>
        <v>1.847491799557599E-2</v>
      </c>
      <c r="P76" s="25">
        <f t="shared" si="55"/>
        <v>-3.2129744666863518E-2</v>
      </c>
      <c r="Q76" s="25">
        <f t="shared" si="56"/>
        <v>-2.534148921491974E-2</v>
      </c>
      <c r="R76" s="25">
        <f t="shared" si="57"/>
        <v>-7.0000402301162645E-3</v>
      </c>
      <c r="S76" s="25">
        <f t="shared" si="58"/>
        <v>5.4308540543605101E-2</v>
      </c>
      <c r="T76" s="23">
        <f t="shared" si="49"/>
        <v>2.0265904689935295</v>
      </c>
      <c r="U76" s="23">
        <f t="shared" si="49"/>
        <v>0.9567555354722096</v>
      </c>
      <c r="V76" s="23">
        <f t="shared" si="49"/>
        <v>3.862129144851658E-2</v>
      </c>
      <c r="W76" s="23">
        <f t="shared" si="49"/>
        <v>138.03902674054444</v>
      </c>
      <c r="X76" s="23">
        <f t="shared" si="49"/>
        <v>-0.71978498352696363</v>
      </c>
      <c r="Y76" s="23">
        <f t="shared" si="49"/>
        <v>1.1629360758217384</v>
      </c>
      <c r="Z76" s="23">
        <f t="shared" si="49"/>
        <v>3.5625</v>
      </c>
      <c r="AA76" s="23">
        <f t="shared" si="49"/>
        <v>-0.12109612875163114</v>
      </c>
      <c r="AB76" s="23">
        <f t="shared" si="49"/>
        <v>64.440205434757274</v>
      </c>
    </row>
    <row r="77" spans="1:28" ht="15.75" customHeight="1" x14ac:dyDescent="0.3">
      <c r="A77" s="21" t="s">
        <v>60</v>
      </c>
      <c r="B77" s="41">
        <v>84.501999999999995</v>
      </c>
      <c r="C77" s="41">
        <v>97.313000000000002</v>
      </c>
      <c r="D77" s="41">
        <v>96.900999999999996</v>
      </c>
      <c r="E77" s="41">
        <v>110.83199999999999</v>
      </c>
      <c r="F77" s="41">
        <v>109.221</v>
      </c>
      <c r="G77" s="42">
        <v>75.049000000000007</v>
      </c>
      <c r="H77" s="42">
        <v>90.436999999999998</v>
      </c>
      <c r="I77" s="41">
        <v>90.039000000000001</v>
      </c>
      <c r="J77" s="41">
        <v>89.956999999999994</v>
      </c>
      <c r="K77" s="25">
        <f t="shared" si="50"/>
        <v>0.35129393668544345</v>
      </c>
      <c r="L77" s="25">
        <f t="shared" si="51"/>
        <v>0.42085847118607417</v>
      </c>
      <c r="M77" s="25">
        <f t="shared" si="52"/>
        <v>0.42010318217289516</v>
      </c>
      <c r="N77" s="25">
        <f t="shared" si="53"/>
        <v>0.49763824781335869</v>
      </c>
      <c r="O77" s="25">
        <f t="shared" si="54"/>
        <v>0.48611154381951466</v>
      </c>
      <c r="P77" s="25">
        <f t="shared" si="55"/>
        <v>0.41812124284783081</v>
      </c>
      <c r="Q77" s="25">
        <f t="shared" si="56"/>
        <v>0.46215129262546817</v>
      </c>
      <c r="R77" s="25">
        <f t="shared" si="57"/>
        <v>0.45278492979844714</v>
      </c>
      <c r="S77" s="25">
        <f t="shared" si="58"/>
        <v>0.42500507887612737</v>
      </c>
      <c r="T77" s="23">
        <f t="shared" si="49"/>
        <v>0.8683526353108012</v>
      </c>
      <c r="U77" s="23">
        <f t="shared" si="49"/>
        <v>1.0042517621077183</v>
      </c>
      <c r="V77" s="23">
        <f t="shared" si="49"/>
        <v>0.87430525480005772</v>
      </c>
      <c r="W77" s="23">
        <f t="shared" si="49"/>
        <v>1.0147499107314526</v>
      </c>
      <c r="X77" s="23">
        <f t="shared" si="49"/>
        <v>1.4553291849325107</v>
      </c>
      <c r="Y77" s="23">
        <f t="shared" si="49"/>
        <v>0.82984840275550942</v>
      </c>
      <c r="Z77" s="23">
        <f t="shared" si="49"/>
        <v>1.0044203067559612</v>
      </c>
      <c r="AA77" s="23">
        <f t="shared" si="49"/>
        <v>1.0009115466278333</v>
      </c>
      <c r="AB77" s="23">
        <f t="shared" si="49"/>
        <v>256.07330672646799</v>
      </c>
    </row>
    <row r="78" spans="1:28" ht="15.75" customHeight="1" x14ac:dyDescent="0.3">
      <c r="A78" s="29" t="s">
        <v>61</v>
      </c>
      <c r="B78" s="30">
        <v>240.54499999999999</v>
      </c>
      <c r="C78" s="30">
        <v>231.22499999999999</v>
      </c>
      <c r="D78" s="30">
        <v>230.66</v>
      </c>
      <c r="E78" s="30">
        <v>222.71600000000001</v>
      </c>
      <c r="F78" s="30">
        <v>224.68299999999999</v>
      </c>
      <c r="G78" s="30">
        <v>179.49100000000001</v>
      </c>
      <c r="H78" s="30">
        <v>195.68700000000001</v>
      </c>
      <c r="I78" s="30">
        <v>198.85599999999999</v>
      </c>
      <c r="J78" s="30">
        <v>211.661</v>
      </c>
      <c r="K78" s="45">
        <f t="shared" si="50"/>
        <v>1</v>
      </c>
      <c r="L78" s="45">
        <f t="shared" si="51"/>
        <v>1</v>
      </c>
      <c r="M78" s="45">
        <f t="shared" si="52"/>
        <v>1</v>
      </c>
      <c r="N78" s="45">
        <f t="shared" si="53"/>
        <v>1</v>
      </c>
      <c r="O78" s="45">
        <f t="shared" si="54"/>
        <v>1</v>
      </c>
      <c r="P78" s="45">
        <f t="shared" si="55"/>
        <v>1</v>
      </c>
      <c r="Q78" s="45">
        <f t="shared" si="56"/>
        <v>1</v>
      </c>
      <c r="R78" s="45">
        <f t="shared" si="57"/>
        <v>1</v>
      </c>
      <c r="S78" s="45">
        <f t="shared" si="58"/>
        <v>1</v>
      </c>
      <c r="T78" s="23">
        <f t="shared" si="49"/>
        <v>1.0403070602227267</v>
      </c>
      <c r="U78" s="23">
        <f t="shared" si="49"/>
        <v>1.0024494927599064</v>
      </c>
      <c r="V78" s="23">
        <f t="shared" si="49"/>
        <v>1.0356687440507193</v>
      </c>
      <c r="W78" s="23">
        <f t="shared" si="49"/>
        <v>0.99124544358051125</v>
      </c>
      <c r="X78" s="23">
        <f t="shared" si="49"/>
        <v>1.2517786407117903</v>
      </c>
      <c r="Y78" s="23">
        <f t="shared" si="49"/>
        <v>0.91723517658301268</v>
      </c>
      <c r="Z78" s="23">
        <f t="shared" si="49"/>
        <v>0.98406384519451273</v>
      </c>
      <c r="AA78" s="23">
        <f t="shared" si="49"/>
        <v>0.93950231738487489</v>
      </c>
      <c r="AB78" s="23">
        <f t="shared" si="49"/>
        <v>211.661</v>
      </c>
    </row>
    <row r="79" spans="1:28" ht="15.75" customHeight="1" x14ac:dyDescent="0.3">
      <c r="A79" s="35" t="s">
        <v>62</v>
      </c>
      <c r="B79" s="36">
        <v>354.58</v>
      </c>
      <c r="C79" s="36">
        <v>370.03399999999999</v>
      </c>
      <c r="D79" s="36">
        <v>359.197</v>
      </c>
      <c r="E79" s="36">
        <v>412.82799999999997</v>
      </c>
      <c r="F79" s="36">
        <v>410.71499999999997</v>
      </c>
      <c r="G79" s="36">
        <v>356.13499999999999</v>
      </c>
      <c r="H79" s="36">
        <v>349.62799999999999</v>
      </c>
      <c r="I79" s="36">
        <v>351.24400000000003</v>
      </c>
      <c r="J79" s="36">
        <v>345.30399999999997</v>
      </c>
      <c r="K79" s="31">
        <f t="shared" si="50"/>
        <v>1.474069300962398</v>
      </c>
      <c r="L79" s="31">
        <f t="shared" si="51"/>
        <v>1.6003200345983351</v>
      </c>
      <c r="M79" s="31">
        <f t="shared" si="52"/>
        <v>1.557257435185988</v>
      </c>
      <c r="N79" s="31">
        <f t="shared" si="53"/>
        <v>1.8536072846135885</v>
      </c>
      <c r="O79" s="31">
        <f t="shared" si="54"/>
        <v>1.8279754142502993</v>
      </c>
      <c r="P79" s="31">
        <f t="shared" si="55"/>
        <v>1.9841384804809152</v>
      </c>
      <c r="Q79" s="31">
        <f t="shared" si="56"/>
        <v>1.7866695283795038</v>
      </c>
      <c r="R79" s="31">
        <f t="shared" si="57"/>
        <v>1.7663233696745386</v>
      </c>
      <c r="S79" s="31">
        <f t="shared" si="58"/>
        <v>1.6314011556214889</v>
      </c>
      <c r="T79" s="23">
        <f t="shared" si="49"/>
        <v>0.958236270180578</v>
      </c>
      <c r="U79" s="23">
        <f t="shared" si="49"/>
        <v>1.0301700738035118</v>
      </c>
      <c r="V79" s="23">
        <f t="shared" si="49"/>
        <v>0.87008875366980931</v>
      </c>
      <c r="W79" s="23">
        <f t="shared" si="49"/>
        <v>1.0051446867048928</v>
      </c>
      <c r="X79" s="23">
        <f t="shared" si="49"/>
        <v>1.1532564898142559</v>
      </c>
      <c r="Y79" s="23">
        <f t="shared" si="49"/>
        <v>1.0186112096285194</v>
      </c>
      <c r="Z79" s="23">
        <f t="shared" si="49"/>
        <v>0.99539920966621487</v>
      </c>
      <c r="AA79" s="23">
        <f t="shared" si="49"/>
        <v>1.0172022333943425</v>
      </c>
      <c r="AB79" s="23">
        <f t="shared" si="49"/>
        <v>234.25221580461388</v>
      </c>
    </row>
    <row r="80" spans="1:28" ht="15.75" customHeight="1" x14ac:dyDescent="0.3"/>
    <row r="81" spans="1:28" ht="15.75" customHeight="1" x14ac:dyDescent="0.3">
      <c r="A81" s="1" t="s">
        <v>63</v>
      </c>
    </row>
    <row r="82" spans="1:28" ht="15.75" customHeight="1" x14ac:dyDescent="0.3">
      <c r="A82" s="7" t="s">
        <v>4</v>
      </c>
      <c r="B82" s="8">
        <v>2025</v>
      </c>
      <c r="C82" s="8">
        <v>2024</v>
      </c>
      <c r="D82" s="8">
        <v>2023</v>
      </c>
      <c r="E82" s="8">
        <v>2022</v>
      </c>
      <c r="F82" s="8">
        <v>2021</v>
      </c>
      <c r="G82" s="8">
        <v>2020</v>
      </c>
      <c r="H82" s="8">
        <v>2019</v>
      </c>
      <c r="I82" s="8">
        <v>2018</v>
      </c>
      <c r="J82" s="8">
        <v>2017</v>
      </c>
      <c r="K82" s="9">
        <v>2025</v>
      </c>
      <c r="L82" s="9">
        <v>2024</v>
      </c>
      <c r="M82" s="9">
        <v>2023</v>
      </c>
      <c r="N82" s="9">
        <v>2022</v>
      </c>
      <c r="O82" s="9">
        <v>2021</v>
      </c>
      <c r="P82" s="9">
        <v>2020</v>
      </c>
      <c r="Q82" s="9">
        <v>2019</v>
      </c>
      <c r="R82" s="9">
        <v>2018</v>
      </c>
      <c r="S82" s="9">
        <v>2017</v>
      </c>
      <c r="T82" s="10">
        <v>2025</v>
      </c>
      <c r="U82" s="10">
        <v>2024</v>
      </c>
      <c r="V82" s="10">
        <v>2023</v>
      </c>
      <c r="W82" s="10">
        <v>2022</v>
      </c>
      <c r="X82" s="10">
        <v>2021</v>
      </c>
      <c r="Y82" s="10">
        <v>2020</v>
      </c>
      <c r="Z82" s="10">
        <v>2019</v>
      </c>
      <c r="AA82" s="10">
        <v>2018</v>
      </c>
      <c r="AB82" s="10">
        <v>2017</v>
      </c>
    </row>
    <row r="83" spans="1:28" ht="15.75" customHeight="1" x14ac:dyDescent="0.3">
      <c r="A83" s="46" t="s">
        <v>64</v>
      </c>
      <c r="B83" s="30">
        <v>247955</v>
      </c>
      <c r="C83" s="30">
        <v>222223</v>
      </c>
      <c r="D83" s="30">
        <v>220485</v>
      </c>
      <c r="E83" s="30">
        <v>223774</v>
      </c>
      <c r="F83" s="30">
        <v>207387</v>
      </c>
      <c r="G83" s="30">
        <v>187702</v>
      </c>
      <c r="H83" s="30">
        <v>166644</v>
      </c>
      <c r="I83" s="30">
        <v>179215</v>
      </c>
      <c r="J83" s="30">
        <v>171839</v>
      </c>
      <c r="K83" s="45">
        <f t="shared" ref="K83:K89" si="59">B83/$B$83</f>
        <v>1</v>
      </c>
      <c r="L83" s="45">
        <f t="shared" ref="L83:L89" si="60">C83/$C$83</f>
        <v>1</v>
      </c>
      <c r="M83" s="45">
        <f t="shared" ref="M83:M89" si="61">D83/$D$83</f>
        <v>1</v>
      </c>
      <c r="N83" s="45">
        <f t="shared" ref="N83:N89" si="62">E83/$E$83</f>
        <v>1</v>
      </c>
      <c r="O83" s="45">
        <f t="shared" ref="O83:O89" si="63">F83/$F$83</f>
        <v>1</v>
      </c>
      <c r="P83" s="45">
        <f t="shared" ref="P83:P89" si="64">G83/$G$83</f>
        <v>1</v>
      </c>
      <c r="Q83" s="45">
        <f t="shared" ref="Q83:Q89" si="65">H83/$H$83</f>
        <v>1</v>
      </c>
      <c r="R83" s="45">
        <f t="shared" ref="R83:R89" si="66">I83/$I$83</f>
        <v>1</v>
      </c>
      <c r="S83" s="45">
        <f t="shared" ref="S83:S89" si="67">J83/$J$83</f>
        <v>1</v>
      </c>
      <c r="T83" s="23">
        <f t="shared" ref="T83:AB98" si="68">IF(C83=0,"---",B83/C83)</f>
        <v>1.1157935947224185</v>
      </c>
      <c r="U83" s="23">
        <f t="shared" si="68"/>
        <v>1.0078826224006168</v>
      </c>
      <c r="V83" s="23">
        <f t="shared" si="68"/>
        <v>0.98530213518996845</v>
      </c>
      <c r="W83" s="23">
        <f t="shared" si="68"/>
        <v>1.079016524661623</v>
      </c>
      <c r="X83" s="23">
        <f t="shared" si="68"/>
        <v>1.1048736827524481</v>
      </c>
      <c r="Y83" s="23">
        <f t="shared" si="68"/>
        <v>1.1263651856652506</v>
      </c>
      <c r="Z83" s="23">
        <f t="shared" si="68"/>
        <v>0.92985520185252346</v>
      </c>
      <c r="AA83" s="23">
        <f t="shared" si="68"/>
        <v>1.0429238996968093</v>
      </c>
      <c r="AB83" s="23">
        <f t="shared" si="68"/>
        <v>171839</v>
      </c>
    </row>
    <row r="84" spans="1:28" ht="15.75" customHeight="1" x14ac:dyDescent="0.3">
      <c r="A84" s="21" t="s">
        <v>65</v>
      </c>
      <c r="B84" s="42">
        <v>-193999</v>
      </c>
      <c r="C84" s="42">
        <v>-167651</v>
      </c>
      <c r="D84" s="42">
        <v>-174796</v>
      </c>
      <c r="E84" s="42">
        <v>-187923</v>
      </c>
      <c r="F84" s="42">
        <v>-154864</v>
      </c>
      <c r="G84" s="42">
        <v>-159156</v>
      </c>
      <c r="H84" s="42">
        <v>-139009</v>
      </c>
      <c r="I84" s="42">
        <v>-144261</v>
      </c>
      <c r="J84" s="42">
        <v>-134983</v>
      </c>
      <c r="K84" s="25">
        <f t="shared" si="59"/>
        <v>-0.78239599927406178</v>
      </c>
      <c r="L84" s="25">
        <f t="shared" si="60"/>
        <v>-0.75442685950599175</v>
      </c>
      <c r="M84" s="25">
        <f t="shared" si="61"/>
        <v>-0.79277955416468238</v>
      </c>
      <c r="N84" s="25">
        <f t="shared" si="62"/>
        <v>-0.8397892516556883</v>
      </c>
      <c r="O84" s="25">
        <f t="shared" si="63"/>
        <v>-0.7467391880879708</v>
      </c>
      <c r="P84" s="25">
        <f t="shared" si="64"/>
        <v>-0.84791850912616806</v>
      </c>
      <c r="Q84" s="25">
        <f t="shared" si="65"/>
        <v>-0.83416744677276111</v>
      </c>
      <c r="R84" s="25">
        <f t="shared" si="66"/>
        <v>-0.80496052227771109</v>
      </c>
      <c r="S84" s="25">
        <f t="shared" si="67"/>
        <v>-0.78552016713318862</v>
      </c>
      <c r="T84" s="23">
        <f t="shared" si="68"/>
        <v>1.1571598141377026</v>
      </c>
      <c r="U84" s="23">
        <f t="shared" si="68"/>
        <v>0.95912377857616882</v>
      </c>
      <c r="V84" s="23">
        <f t="shared" si="68"/>
        <v>0.93014692187757753</v>
      </c>
      <c r="W84" s="23">
        <f t="shared" si="68"/>
        <v>1.213471174708131</v>
      </c>
      <c r="X84" s="23">
        <f t="shared" si="68"/>
        <v>0.97303274774435145</v>
      </c>
      <c r="Y84" s="23">
        <f t="shared" si="68"/>
        <v>1.1449330618880791</v>
      </c>
      <c r="Z84" s="23">
        <f t="shared" si="68"/>
        <v>0.96359376408038211</v>
      </c>
      <c r="AA84" s="23">
        <f t="shared" si="68"/>
        <v>1.0687345813917308</v>
      </c>
      <c r="AB84" s="23">
        <f t="shared" si="68"/>
        <v>172525.16644415693</v>
      </c>
    </row>
    <row r="85" spans="1:28" ht="15.75" customHeight="1" x14ac:dyDescent="0.3">
      <c r="A85" s="29" t="s">
        <v>66</v>
      </c>
      <c r="B85" s="30">
        <v>53956</v>
      </c>
      <c r="C85" s="30">
        <v>54572</v>
      </c>
      <c r="D85" s="30">
        <v>45689</v>
      </c>
      <c r="E85" s="30">
        <v>35851</v>
      </c>
      <c r="F85" s="30">
        <v>52523</v>
      </c>
      <c r="G85" s="30">
        <v>28546</v>
      </c>
      <c r="H85" s="30">
        <v>27635</v>
      </c>
      <c r="I85" s="30">
        <v>34954</v>
      </c>
      <c r="J85" s="30">
        <v>36856</v>
      </c>
      <c r="K85" s="45">
        <f t="shared" si="59"/>
        <v>0.21760400072593816</v>
      </c>
      <c r="L85" s="45">
        <f t="shared" si="60"/>
        <v>0.24557314049400827</v>
      </c>
      <c r="M85" s="45">
        <f t="shared" si="61"/>
        <v>0.2072204458353176</v>
      </c>
      <c r="N85" s="45">
        <f t="shared" si="62"/>
        <v>0.16021074834431168</v>
      </c>
      <c r="O85" s="45">
        <f t="shared" si="63"/>
        <v>0.2532608119120292</v>
      </c>
      <c r="P85" s="45">
        <f t="shared" si="64"/>
        <v>0.15208149087383194</v>
      </c>
      <c r="Q85" s="45">
        <f t="shared" si="65"/>
        <v>0.16583255322723892</v>
      </c>
      <c r="R85" s="45">
        <f t="shared" si="66"/>
        <v>0.19503947772228888</v>
      </c>
      <c r="S85" s="45">
        <f t="shared" si="67"/>
        <v>0.21447983286681138</v>
      </c>
      <c r="T85" s="23">
        <f t="shared" si="68"/>
        <v>0.98871216008209339</v>
      </c>
      <c r="U85" s="23">
        <f t="shared" si="68"/>
        <v>1.1944231653133139</v>
      </c>
      <c r="V85" s="23">
        <f t="shared" si="68"/>
        <v>1.2744135449499316</v>
      </c>
      <c r="W85" s="23">
        <f t="shared" si="68"/>
        <v>0.68257715667421892</v>
      </c>
      <c r="X85" s="23">
        <f t="shared" si="68"/>
        <v>1.8399425488684931</v>
      </c>
      <c r="Y85" s="23">
        <f t="shared" si="68"/>
        <v>1.0329654423738013</v>
      </c>
      <c r="Z85" s="23">
        <f t="shared" si="68"/>
        <v>0.7906105166790639</v>
      </c>
      <c r="AA85" s="23">
        <f t="shared" si="68"/>
        <v>0.94839374864336878</v>
      </c>
      <c r="AB85" s="23">
        <f t="shared" si="68"/>
        <v>169371.88598116985</v>
      </c>
    </row>
    <row r="86" spans="1:28" ht="15.75" customHeight="1" x14ac:dyDescent="0.3">
      <c r="A86" s="21" t="s">
        <v>67</v>
      </c>
      <c r="B86" s="41">
        <v>-19884</v>
      </c>
      <c r="C86" s="41">
        <v>-13406</v>
      </c>
      <c r="D86" s="41">
        <v>-20382</v>
      </c>
      <c r="E86" s="41">
        <v>-18610</v>
      </c>
      <c r="F86" s="41">
        <v>-14954</v>
      </c>
      <c r="G86" s="41">
        <v>-13648</v>
      </c>
      <c r="H86" s="41">
        <v>-13345</v>
      </c>
      <c r="I86" s="41">
        <v>-13759</v>
      </c>
      <c r="J86" s="41">
        <v>-13749</v>
      </c>
      <c r="K86" s="25">
        <f t="shared" si="59"/>
        <v>-8.0191970317194647E-2</v>
      </c>
      <c r="L86" s="25">
        <f t="shared" si="60"/>
        <v>-6.0326788856239003E-2</v>
      </c>
      <c r="M86" s="25">
        <f t="shared" si="61"/>
        <v>-9.2441662698142732E-2</v>
      </c>
      <c r="N86" s="25">
        <f t="shared" si="62"/>
        <v>-8.3164263944872946E-2</v>
      </c>
      <c r="O86" s="25">
        <f t="shared" si="63"/>
        <v>-7.2106737645079008E-2</v>
      </c>
      <c r="P86" s="25">
        <f t="shared" si="64"/>
        <v>-7.271099935003357E-2</v>
      </c>
      <c r="Q86" s="25">
        <f t="shared" si="65"/>
        <v>-8.0080891001176158E-2</v>
      </c>
      <c r="R86" s="25">
        <f t="shared" si="66"/>
        <v>-7.6773707557961104E-2</v>
      </c>
      <c r="S86" s="25">
        <f t="shared" si="67"/>
        <v>-8.0010940473350056E-2</v>
      </c>
      <c r="T86" s="23">
        <f t="shared" si="68"/>
        <v>1.4832164702372073</v>
      </c>
      <c r="U86" s="23">
        <f t="shared" si="68"/>
        <v>0.65773721911490535</v>
      </c>
      <c r="V86" s="23">
        <f t="shared" si="68"/>
        <v>1.0952176249328318</v>
      </c>
      <c r="W86" s="23">
        <f t="shared" si="68"/>
        <v>1.2444830814497794</v>
      </c>
      <c r="X86" s="23">
        <f t="shared" si="68"/>
        <v>1.0956916764361078</v>
      </c>
      <c r="Y86" s="23">
        <f t="shared" si="68"/>
        <v>1.0227051330086174</v>
      </c>
      <c r="Z86" s="23">
        <f t="shared" si="68"/>
        <v>0.96991060396831164</v>
      </c>
      <c r="AA86" s="23">
        <f t="shared" si="68"/>
        <v>1.0007273256236817</v>
      </c>
      <c r="AB86" s="23">
        <f t="shared" si="68"/>
        <v>171451.08101991552</v>
      </c>
    </row>
    <row r="87" spans="1:28" ht="15.75" customHeight="1" x14ac:dyDescent="0.3">
      <c r="A87" s="21" t="s">
        <v>68</v>
      </c>
      <c r="B87" s="41">
        <v>-21030</v>
      </c>
      <c r="C87" s="41">
        <v>-21495</v>
      </c>
      <c r="D87" s="41">
        <v>-20494</v>
      </c>
      <c r="E87" s="41">
        <v>-19049</v>
      </c>
      <c r="F87" s="41">
        <v>-18552</v>
      </c>
      <c r="G87" s="41">
        <v>-17111</v>
      </c>
      <c r="H87" s="41">
        <v>-16827</v>
      </c>
      <c r="I87" s="41">
        <v>-16936</v>
      </c>
      <c r="J87" s="41">
        <v>-13523</v>
      </c>
      <c r="K87" s="25">
        <f t="shared" si="59"/>
        <v>-8.481377669335162E-2</v>
      </c>
      <c r="L87" s="25">
        <f t="shared" si="60"/>
        <v>-9.6727161454934901E-2</v>
      </c>
      <c r="M87" s="25">
        <f t="shared" si="61"/>
        <v>-9.2949633761933922E-2</v>
      </c>
      <c r="N87" s="25">
        <f t="shared" si="62"/>
        <v>-8.5126064690267858E-2</v>
      </c>
      <c r="O87" s="25">
        <f t="shared" si="63"/>
        <v>-8.9455944683128646E-2</v>
      </c>
      <c r="P87" s="25">
        <f t="shared" si="64"/>
        <v>-9.1160456468231565E-2</v>
      </c>
      <c r="Q87" s="25">
        <f t="shared" si="65"/>
        <v>-0.10097573269964716</v>
      </c>
      <c r="R87" s="25">
        <f t="shared" si="66"/>
        <v>-9.4501018329938902E-2</v>
      </c>
      <c r="S87" s="25">
        <f t="shared" si="67"/>
        <v>-7.8695755911056278E-2</v>
      </c>
      <c r="T87" s="23">
        <f t="shared" si="68"/>
        <v>0.97836706210746682</v>
      </c>
      <c r="U87" s="23">
        <f t="shared" si="68"/>
        <v>1.0488435639699425</v>
      </c>
      <c r="V87" s="23">
        <f t="shared" si="68"/>
        <v>1.0758570003674734</v>
      </c>
      <c r="W87" s="23">
        <f t="shared" si="68"/>
        <v>1.026789564467443</v>
      </c>
      <c r="X87" s="23">
        <f t="shared" si="68"/>
        <v>1.0842148325638479</v>
      </c>
      <c r="Y87" s="23">
        <f t="shared" si="68"/>
        <v>1.0168776371308017</v>
      </c>
      <c r="Z87" s="23">
        <f t="shared" si="68"/>
        <v>0.99356400566839864</v>
      </c>
      <c r="AA87" s="23">
        <f t="shared" si="68"/>
        <v>1.2523848258522516</v>
      </c>
      <c r="AB87" s="23">
        <f t="shared" si="68"/>
        <v>159443.4362815026</v>
      </c>
    </row>
    <row r="88" spans="1:28" ht="15.75" customHeight="1" x14ac:dyDescent="0.3">
      <c r="A88" s="21" t="s">
        <v>69</v>
      </c>
      <c r="B88" s="41">
        <v>17159</v>
      </c>
      <c r="C88" s="41">
        <v>1994</v>
      </c>
      <c r="D88" s="41">
        <v>47059</v>
      </c>
      <c r="E88" s="41">
        <v>2212</v>
      </c>
      <c r="F88" s="41">
        <v>2545</v>
      </c>
      <c r="G88" s="41">
        <v>2433</v>
      </c>
      <c r="H88" s="41">
        <v>1503</v>
      </c>
      <c r="I88" s="41">
        <v>4780</v>
      </c>
      <c r="J88" s="41">
        <v>2800</v>
      </c>
      <c r="K88" s="25">
        <f t="shared" si="59"/>
        <v>6.9202072956786514E-2</v>
      </c>
      <c r="L88" s="25">
        <f t="shared" si="60"/>
        <v>8.9729685946099182E-3</v>
      </c>
      <c r="M88" s="25">
        <f t="shared" si="61"/>
        <v>0.21343402045490623</v>
      </c>
      <c r="N88" s="25">
        <f t="shared" si="62"/>
        <v>9.8849732319214925E-3</v>
      </c>
      <c r="O88" s="25">
        <f t="shared" si="63"/>
        <v>1.2271743166157955E-2</v>
      </c>
      <c r="P88" s="25">
        <f t="shared" si="64"/>
        <v>1.2962035567015801E-2</v>
      </c>
      <c r="Q88" s="25">
        <f t="shared" si="65"/>
        <v>9.0192266148196153E-3</v>
      </c>
      <c r="R88" s="25">
        <f t="shared" si="66"/>
        <v>2.6671874564071087E-2</v>
      </c>
      <c r="S88" s="25">
        <f t="shared" si="67"/>
        <v>1.6294322010719335E-2</v>
      </c>
      <c r="T88" s="23">
        <f t="shared" si="68"/>
        <v>8.6053159478435308</v>
      </c>
      <c r="U88" s="23">
        <f t="shared" si="68"/>
        <v>4.2372341103720859E-2</v>
      </c>
      <c r="V88" s="23">
        <f t="shared" si="68"/>
        <v>21.274412296564194</v>
      </c>
      <c r="W88" s="23">
        <f t="shared" si="68"/>
        <v>0.86915520628683696</v>
      </c>
      <c r="X88" s="23">
        <f t="shared" si="68"/>
        <v>1.0460337032470202</v>
      </c>
      <c r="Y88" s="23">
        <f t="shared" si="68"/>
        <v>1.6187624750499001</v>
      </c>
      <c r="Z88" s="23">
        <f t="shared" si="68"/>
        <v>0.31443514644351467</v>
      </c>
      <c r="AA88" s="23">
        <f t="shared" si="68"/>
        <v>1.7071428571428571</v>
      </c>
      <c r="AB88" s="23">
        <f t="shared" si="68"/>
        <v>40461.21568855994</v>
      </c>
    </row>
    <row r="89" spans="1:28" ht="15.75" customHeight="1" x14ac:dyDescent="0.3">
      <c r="A89" s="21" t="s">
        <v>70</v>
      </c>
      <c r="B89" s="41">
        <v>-22153</v>
      </c>
      <c r="C89" s="41">
        <v>-318</v>
      </c>
      <c r="D89" s="41">
        <v>-40088</v>
      </c>
      <c r="E89" s="41">
        <v>0</v>
      </c>
      <c r="F89" s="41">
        <v>-1098</v>
      </c>
      <c r="G89" s="41">
        <v>0</v>
      </c>
      <c r="H89" s="41">
        <v>-2869</v>
      </c>
      <c r="I89" s="41">
        <v>-2059</v>
      </c>
      <c r="J89" s="41">
        <v>-566</v>
      </c>
      <c r="K89" s="25">
        <f t="shared" si="59"/>
        <v>-8.9342824302796872E-2</v>
      </c>
      <c r="L89" s="25">
        <f t="shared" si="60"/>
        <v>-1.4309949915175296E-3</v>
      </c>
      <c r="M89" s="25">
        <f t="shared" si="61"/>
        <v>-0.1818173571898315</v>
      </c>
      <c r="N89" s="25">
        <f t="shared" si="62"/>
        <v>0</v>
      </c>
      <c r="O89" s="25">
        <f t="shared" si="63"/>
        <v>-5.2944495074426076E-3</v>
      </c>
      <c r="P89" s="25">
        <f t="shared" si="64"/>
        <v>0</v>
      </c>
      <c r="Q89" s="25">
        <f t="shared" si="65"/>
        <v>-1.7216341422433452E-2</v>
      </c>
      <c r="R89" s="25">
        <f t="shared" si="66"/>
        <v>-1.1488993666824763E-2</v>
      </c>
      <c r="S89" s="25">
        <f t="shared" si="67"/>
        <v>-3.2937808064525515E-3</v>
      </c>
      <c r="T89" s="23">
        <f t="shared" si="68"/>
        <v>69.663522012578611</v>
      </c>
      <c r="U89" s="23">
        <f t="shared" si="68"/>
        <v>7.9325483935342254E-3</v>
      </c>
      <c r="V89" s="23" t="str">
        <f t="shared" si="68"/>
        <v>---</v>
      </c>
      <c r="W89" s="23">
        <f t="shared" si="68"/>
        <v>0</v>
      </c>
      <c r="X89" s="23" t="str">
        <f t="shared" si="68"/>
        <v>---</v>
      </c>
      <c r="Y89" s="23">
        <f t="shared" si="68"/>
        <v>0</v>
      </c>
      <c r="Z89" s="23">
        <f t="shared" si="68"/>
        <v>1.3933948518698398</v>
      </c>
      <c r="AA89" s="23">
        <f t="shared" si="68"/>
        <v>3.637809187279152</v>
      </c>
      <c r="AB89" s="23">
        <f t="shared" si="68"/>
        <v>6335.1478355076069</v>
      </c>
    </row>
    <row r="90" spans="1:28" ht="15.75" customHeight="1" x14ac:dyDescent="0.3">
      <c r="A90" s="21" t="s">
        <v>71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>
        <v>0</v>
      </c>
      <c r="H90" s="41">
        <v>0</v>
      </c>
      <c r="I90" s="41">
        <v>0</v>
      </c>
      <c r="J90" s="41">
        <v>0</v>
      </c>
      <c r="K90" s="41">
        <v>0</v>
      </c>
      <c r="L90" s="41">
        <v>0</v>
      </c>
      <c r="M90" s="41">
        <v>0</v>
      </c>
      <c r="N90" s="41">
        <v>0</v>
      </c>
      <c r="O90" s="41">
        <v>0</v>
      </c>
      <c r="P90" s="41">
        <v>0</v>
      </c>
      <c r="Q90" s="41">
        <v>0</v>
      </c>
      <c r="R90" s="41">
        <v>0</v>
      </c>
      <c r="S90" s="41">
        <v>0</v>
      </c>
      <c r="T90" s="23" t="str">
        <f t="shared" si="68"/>
        <v>---</v>
      </c>
      <c r="U90" s="23" t="str">
        <f t="shared" si="68"/>
        <v>---</v>
      </c>
      <c r="V90" s="23" t="str">
        <f t="shared" si="68"/>
        <v>---</v>
      </c>
      <c r="W90" s="23" t="str">
        <f t="shared" si="68"/>
        <v>---</v>
      </c>
      <c r="X90" s="23" t="str">
        <f t="shared" si="68"/>
        <v>---</v>
      </c>
      <c r="Y90" s="23" t="str">
        <f t="shared" si="68"/>
        <v>---</v>
      </c>
      <c r="Z90" s="23" t="str">
        <f t="shared" si="68"/>
        <v>---</v>
      </c>
      <c r="AA90" s="23" t="str">
        <f t="shared" si="68"/>
        <v>---</v>
      </c>
      <c r="AB90" s="23" t="str">
        <f t="shared" si="68"/>
        <v>---</v>
      </c>
    </row>
    <row r="91" spans="1:28" ht="15.75" customHeight="1" x14ac:dyDescent="0.3">
      <c r="A91" s="29" t="s">
        <v>72</v>
      </c>
      <c r="B91" s="30">
        <v>8048</v>
      </c>
      <c r="C91" s="30">
        <v>21347</v>
      </c>
      <c r="D91" s="30">
        <v>11784</v>
      </c>
      <c r="E91" s="30">
        <v>404</v>
      </c>
      <c r="F91" s="30">
        <v>20464</v>
      </c>
      <c r="G91" s="30">
        <v>220</v>
      </c>
      <c r="H91" s="30">
        <v>-3903</v>
      </c>
      <c r="I91" s="30">
        <v>6980</v>
      </c>
      <c r="J91" s="30">
        <v>11818</v>
      </c>
      <c r="K91" s="45">
        <f>B91/$B$83</f>
        <v>3.2457502369381538E-2</v>
      </c>
      <c r="L91" s="45">
        <f>C91/$C$83</f>
        <v>9.6061163785926745E-2</v>
      </c>
      <c r="M91" s="45">
        <f>D91/$D$83</f>
        <v>5.3445812640315671E-2</v>
      </c>
      <c r="N91" s="45">
        <f>E91/$E$83</f>
        <v>1.8053929410923521E-3</v>
      </c>
      <c r="O91" s="45">
        <f>F91/$F$83</f>
        <v>9.8675423242536905E-2</v>
      </c>
      <c r="P91" s="45">
        <f>G91/$G$83</f>
        <v>1.1720706225826043E-3</v>
      </c>
      <c r="Q91" s="45">
        <f>H91/$H$83</f>
        <v>-2.3421185281198242E-2</v>
      </c>
      <c r="R91" s="45">
        <f>I91/$I$83</f>
        <v>3.8947632731635186E-2</v>
      </c>
      <c r="S91" s="45">
        <f>J91/$J$83</f>
        <v>6.8773677686671822E-2</v>
      </c>
      <c r="T91" s="23">
        <f t="shared" si="68"/>
        <v>0.37700847894317702</v>
      </c>
      <c r="U91" s="23">
        <f t="shared" si="68"/>
        <v>1.8115241004752207</v>
      </c>
      <c r="V91" s="23">
        <f t="shared" si="68"/>
        <v>29.168316831683168</v>
      </c>
      <c r="W91" s="23">
        <f t="shared" si="68"/>
        <v>1.9741985926505081E-2</v>
      </c>
      <c r="X91" s="23">
        <f t="shared" si="68"/>
        <v>93.018181818181816</v>
      </c>
      <c r="Y91" s="23">
        <f t="shared" si="68"/>
        <v>-5.6366897258519087E-2</v>
      </c>
      <c r="Z91" s="23">
        <f t="shared" si="68"/>
        <v>-0.55916905444126075</v>
      </c>
      <c r="AA91" s="23">
        <f t="shared" si="68"/>
        <v>0.59062447114570993</v>
      </c>
      <c r="AB91" s="23">
        <f t="shared" si="68"/>
        <v>364106.88245526841</v>
      </c>
    </row>
    <row r="92" spans="1:28" ht="15.75" customHeight="1" x14ac:dyDescent="0.3">
      <c r="A92" s="21" t="s">
        <v>73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23" t="str">
        <f t="shared" si="68"/>
        <v>---</v>
      </c>
      <c r="U92" s="23" t="str">
        <f t="shared" si="68"/>
        <v>---</v>
      </c>
      <c r="V92" s="23" t="str">
        <f t="shared" si="68"/>
        <v>---</v>
      </c>
      <c r="W92" s="23" t="str">
        <f t="shared" si="68"/>
        <v>---</v>
      </c>
      <c r="X92" s="23" t="str">
        <f t="shared" si="68"/>
        <v>---</v>
      </c>
      <c r="Y92" s="23" t="str">
        <f t="shared" si="68"/>
        <v>---</v>
      </c>
      <c r="Z92" s="23" t="str">
        <f t="shared" si="68"/>
        <v>---</v>
      </c>
      <c r="AA92" s="23" t="str">
        <f t="shared" si="68"/>
        <v>---</v>
      </c>
      <c r="AB92" s="23" t="str">
        <f t="shared" si="68"/>
        <v>---</v>
      </c>
    </row>
    <row r="93" spans="1:28" ht="15.75" customHeight="1" x14ac:dyDescent="0.3">
      <c r="A93" s="21" t="s">
        <v>74</v>
      </c>
      <c r="B93" s="41">
        <v>22468</v>
      </c>
      <c r="C93" s="41">
        <v>19654</v>
      </c>
      <c r="D93" s="41">
        <v>26583</v>
      </c>
      <c r="E93" s="41">
        <v>31548</v>
      </c>
      <c r="F93" s="41">
        <v>16439</v>
      </c>
      <c r="G93" s="41">
        <v>19607</v>
      </c>
      <c r="H93" s="41">
        <v>20094</v>
      </c>
      <c r="I93" s="41">
        <v>9376</v>
      </c>
      <c r="J93" s="41">
        <v>0</v>
      </c>
      <c r="K93" s="25">
        <f>B93/$B$83</f>
        <v>9.0613216107761491E-2</v>
      </c>
      <c r="L93" s="25">
        <f>C93/$C$83</f>
        <v>8.8442690450583422E-2</v>
      </c>
      <c r="M93" s="25">
        <f>D93/$D$83</f>
        <v>0.12056602489965304</v>
      </c>
      <c r="N93" s="25">
        <f>E93/$E$83</f>
        <v>0.14098152600391467</v>
      </c>
      <c r="O93" s="25">
        <f>F93/$F$83</f>
        <v>7.9267263618259587E-2</v>
      </c>
      <c r="P93" s="25">
        <f>G93/$G$83</f>
        <v>0.10445813044080511</v>
      </c>
      <c r="Q93" s="25">
        <f>H93/$H$83</f>
        <v>0.12058039893425505</v>
      </c>
      <c r="R93" s="25">
        <f>I93/$I$83</f>
        <v>5.2317049354127725E-2</v>
      </c>
      <c r="S93" s="25">
        <f>J93/$J$83</f>
        <v>0</v>
      </c>
      <c r="T93" s="23">
        <f t="shared" si="68"/>
        <v>1.1431769614327871</v>
      </c>
      <c r="U93" s="23">
        <f t="shared" si="68"/>
        <v>0.73934469397735392</v>
      </c>
      <c r="V93" s="23">
        <f t="shared" si="68"/>
        <v>0.84262076835298594</v>
      </c>
      <c r="W93" s="23">
        <f t="shared" si="68"/>
        <v>1.9190948354522781</v>
      </c>
      <c r="X93" s="23">
        <f t="shared" si="68"/>
        <v>0.83842505227724795</v>
      </c>
      <c r="Y93" s="23">
        <f t="shared" si="68"/>
        <v>0.97576390962476356</v>
      </c>
      <c r="Z93" s="23">
        <f t="shared" si="68"/>
        <v>2.1431313993174061</v>
      </c>
      <c r="AA93" s="23" t="str">
        <f t="shared" si="68"/>
        <v>---</v>
      </c>
      <c r="AB93" s="23">
        <f t="shared" si="68"/>
        <v>0</v>
      </c>
    </row>
    <row r="94" spans="1:28" ht="15.75" customHeight="1" x14ac:dyDescent="0.3">
      <c r="A94" s="21" t="s">
        <v>75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0</v>
      </c>
      <c r="O94" s="41">
        <v>0</v>
      </c>
      <c r="P94" s="41">
        <v>0</v>
      </c>
      <c r="Q94" s="41">
        <v>0</v>
      </c>
      <c r="R94" s="41">
        <v>0</v>
      </c>
      <c r="S94" s="41">
        <v>0</v>
      </c>
      <c r="T94" s="23" t="str">
        <f t="shared" si="68"/>
        <v>---</v>
      </c>
      <c r="U94" s="23" t="str">
        <f t="shared" si="68"/>
        <v>---</v>
      </c>
      <c r="V94" s="23" t="str">
        <f t="shared" si="68"/>
        <v>---</v>
      </c>
      <c r="W94" s="23" t="str">
        <f t="shared" si="68"/>
        <v>---</v>
      </c>
      <c r="X94" s="23" t="str">
        <f t="shared" si="68"/>
        <v>---</v>
      </c>
      <c r="Y94" s="23" t="str">
        <f t="shared" si="68"/>
        <v>---</v>
      </c>
      <c r="Z94" s="23" t="str">
        <f t="shared" si="68"/>
        <v>---</v>
      </c>
      <c r="AA94" s="23" t="str">
        <f t="shared" si="68"/>
        <v>---</v>
      </c>
      <c r="AB94" s="23" t="str">
        <f t="shared" si="68"/>
        <v>---</v>
      </c>
    </row>
    <row r="95" spans="1:28" ht="15.75" customHeight="1" x14ac:dyDescent="0.3">
      <c r="A95" s="21" t="s">
        <v>76</v>
      </c>
      <c r="B95" s="41">
        <v>-21622</v>
      </c>
      <c r="C95" s="41">
        <v>-25747</v>
      </c>
      <c r="D95" s="41">
        <v>-30598</v>
      </c>
      <c r="E95" s="41">
        <v>-38801</v>
      </c>
      <c r="F95" s="41">
        <v>-23139</v>
      </c>
      <c r="G95" s="41">
        <v>-33599</v>
      </c>
      <c r="H95" s="41">
        <v>-23829</v>
      </c>
      <c r="I95" s="41">
        <v>-17455</v>
      </c>
      <c r="J95" s="41">
        <v>-2973</v>
      </c>
      <c r="K95" s="25">
        <f>B95/$B$83</f>
        <v>-8.7201306688713676E-2</v>
      </c>
      <c r="L95" s="25">
        <f>C95/$C$83</f>
        <v>-0.1158610944861693</v>
      </c>
      <c r="M95" s="25">
        <f>D95/$D$83</f>
        <v>-0.13877588044538178</v>
      </c>
      <c r="N95" s="25">
        <f>E95/$E$83</f>
        <v>-0.17339369184981276</v>
      </c>
      <c r="O95" s="25">
        <f>F95/$F$83</f>
        <v>-0.11157401380028642</v>
      </c>
      <c r="P95" s="25">
        <f>G95/$G$83</f>
        <v>-0.17900182203705875</v>
      </c>
      <c r="Q95" s="25">
        <f>H95/$H$83</f>
        <v>-0.14299344710880679</v>
      </c>
      <c r="R95" s="25">
        <f>I95/$I$83</f>
        <v>-9.7396981279468789E-2</v>
      </c>
      <c r="S95" s="25">
        <f>J95/$J$83</f>
        <v>-1.7301078334953066E-2</v>
      </c>
      <c r="T95" s="23">
        <f t="shared" si="68"/>
        <v>0.83978715966908768</v>
      </c>
      <c r="U95" s="23">
        <f t="shared" si="68"/>
        <v>0.84146022615857241</v>
      </c>
      <c r="V95" s="23">
        <f t="shared" si="68"/>
        <v>0.78858792299167546</v>
      </c>
      <c r="W95" s="23">
        <f t="shared" si="68"/>
        <v>1.6768658974026536</v>
      </c>
      <c r="X95" s="23">
        <f t="shared" si="68"/>
        <v>0.68868121075031996</v>
      </c>
      <c r="Y95" s="23">
        <f t="shared" si="68"/>
        <v>1.4100046162239288</v>
      </c>
      <c r="Z95" s="23">
        <f t="shared" si="68"/>
        <v>1.3651675737611</v>
      </c>
      <c r="AA95" s="23">
        <f t="shared" si="68"/>
        <v>5.8711738984191051</v>
      </c>
      <c r="AB95" s="23">
        <f t="shared" si="68"/>
        <v>34093.525807048376</v>
      </c>
    </row>
    <row r="96" spans="1:28" ht="15.75" customHeight="1" x14ac:dyDescent="0.3">
      <c r="A96" s="21" t="s">
        <v>77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>
        <v>0</v>
      </c>
      <c r="H96" s="41">
        <v>0</v>
      </c>
      <c r="I96" s="41">
        <v>0</v>
      </c>
      <c r="J96" s="41">
        <v>0</v>
      </c>
      <c r="K96" s="41">
        <v>0</v>
      </c>
      <c r="L96" s="41">
        <v>0</v>
      </c>
      <c r="M96" s="41">
        <v>0</v>
      </c>
      <c r="N96" s="41">
        <v>0</v>
      </c>
      <c r="O96" s="41">
        <v>0</v>
      </c>
      <c r="P96" s="41">
        <v>0</v>
      </c>
      <c r="Q96" s="41">
        <v>0</v>
      </c>
      <c r="R96" s="41">
        <v>0</v>
      </c>
      <c r="S96" s="41">
        <v>0</v>
      </c>
      <c r="T96" s="23" t="str">
        <f t="shared" si="68"/>
        <v>---</v>
      </c>
      <c r="U96" s="23" t="str">
        <f t="shared" si="68"/>
        <v>---</v>
      </c>
      <c r="V96" s="23" t="str">
        <f t="shared" si="68"/>
        <v>---</v>
      </c>
      <c r="W96" s="23" t="str">
        <f t="shared" si="68"/>
        <v>---</v>
      </c>
      <c r="X96" s="23" t="str">
        <f t="shared" si="68"/>
        <v>---</v>
      </c>
      <c r="Y96" s="23" t="str">
        <f t="shared" si="68"/>
        <v>---</v>
      </c>
      <c r="Z96" s="23" t="str">
        <f t="shared" si="68"/>
        <v>---</v>
      </c>
      <c r="AA96" s="23" t="str">
        <f t="shared" si="68"/>
        <v>---</v>
      </c>
      <c r="AB96" s="23" t="str">
        <f t="shared" si="68"/>
        <v>---</v>
      </c>
    </row>
    <row r="97" spans="1:28" ht="15.75" customHeight="1" x14ac:dyDescent="0.3">
      <c r="A97" s="21" t="s">
        <v>78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>
        <v>0</v>
      </c>
      <c r="H97" s="41">
        <v>0</v>
      </c>
      <c r="I97" s="41">
        <v>-9606</v>
      </c>
      <c r="J97" s="41">
        <v>-6497</v>
      </c>
      <c r="K97" s="25">
        <f>B97/$B$83</f>
        <v>0</v>
      </c>
      <c r="L97" s="25">
        <f>C97/$C$83</f>
        <v>0</v>
      </c>
      <c r="M97" s="25">
        <f>D97/$D$83</f>
        <v>0</v>
      </c>
      <c r="N97" s="25">
        <f>E97/$E$83</f>
        <v>0</v>
      </c>
      <c r="O97" s="25">
        <f>F97/$F$83</f>
        <v>0</v>
      </c>
      <c r="P97" s="25">
        <f>G97/$G$83</f>
        <v>0</v>
      </c>
      <c r="Q97" s="25">
        <f>H97/$H$83</f>
        <v>0</v>
      </c>
      <c r="R97" s="25">
        <f>I97/$I$83</f>
        <v>-5.3600424071645787E-2</v>
      </c>
      <c r="S97" s="25">
        <f>J97/$J$83</f>
        <v>-3.7808646465586973E-2</v>
      </c>
      <c r="T97" s="23" t="str">
        <f t="shared" si="68"/>
        <v>---</v>
      </c>
      <c r="U97" s="23" t="str">
        <f t="shared" si="68"/>
        <v>---</v>
      </c>
      <c r="V97" s="23" t="str">
        <f t="shared" si="68"/>
        <v>---</v>
      </c>
      <c r="W97" s="23" t="str">
        <f t="shared" si="68"/>
        <v>---</v>
      </c>
      <c r="X97" s="23" t="str">
        <f t="shared" si="68"/>
        <v>---</v>
      </c>
      <c r="Y97" s="23" t="str">
        <f t="shared" si="68"/>
        <v>---</v>
      </c>
      <c r="Z97" s="23">
        <f t="shared" si="68"/>
        <v>0</v>
      </c>
      <c r="AA97" s="23">
        <f t="shared" si="68"/>
        <v>1.4785285516392181</v>
      </c>
      <c r="AB97" s="23" t="str">
        <f t="shared" si="68"/>
        <v>---</v>
      </c>
    </row>
    <row r="98" spans="1:28" ht="15.75" customHeight="1" x14ac:dyDescent="0.3">
      <c r="A98" s="21" t="s">
        <v>79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1390</v>
      </c>
      <c r="K98" s="41">
        <v>0</v>
      </c>
      <c r="L98" s="41">
        <v>0</v>
      </c>
      <c r="M98" s="41">
        <v>0</v>
      </c>
      <c r="N98" s="41">
        <v>0</v>
      </c>
      <c r="O98" s="41">
        <v>0</v>
      </c>
      <c r="P98" s="41">
        <v>0</v>
      </c>
      <c r="Q98" s="41">
        <v>0</v>
      </c>
      <c r="R98" s="41">
        <v>0</v>
      </c>
      <c r="S98" s="41">
        <v>0</v>
      </c>
      <c r="T98" s="23" t="str">
        <f t="shared" si="68"/>
        <v>---</v>
      </c>
      <c r="U98" s="23" t="str">
        <f t="shared" si="68"/>
        <v>---</v>
      </c>
      <c r="V98" s="23" t="str">
        <f t="shared" si="68"/>
        <v>---</v>
      </c>
      <c r="W98" s="23" t="str">
        <f t="shared" si="68"/>
        <v>---</v>
      </c>
      <c r="X98" s="23" t="str">
        <f t="shared" si="68"/>
        <v>---</v>
      </c>
      <c r="Y98" s="23" t="str">
        <f t="shared" si="68"/>
        <v>---</v>
      </c>
      <c r="Z98" s="23" t="str">
        <f t="shared" si="68"/>
        <v>---</v>
      </c>
      <c r="AA98" s="23">
        <f t="shared" si="68"/>
        <v>0</v>
      </c>
      <c r="AB98" s="23" t="str">
        <f t="shared" si="68"/>
        <v>---</v>
      </c>
    </row>
    <row r="99" spans="1:28" ht="15.75" customHeight="1" x14ac:dyDescent="0.3">
      <c r="A99" s="21" t="s">
        <v>80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>
        <v>0</v>
      </c>
      <c r="H99" s="41">
        <v>0</v>
      </c>
      <c r="I99" s="41">
        <v>0</v>
      </c>
      <c r="J99" s="41">
        <v>0</v>
      </c>
      <c r="K99" s="41">
        <v>0</v>
      </c>
      <c r="L99" s="41">
        <v>0</v>
      </c>
      <c r="M99" s="41">
        <v>0</v>
      </c>
      <c r="N99" s="41">
        <v>0</v>
      </c>
      <c r="O99" s="41">
        <v>0</v>
      </c>
      <c r="P99" s="41">
        <v>0</v>
      </c>
      <c r="Q99" s="41">
        <v>0</v>
      </c>
      <c r="R99" s="41">
        <v>0</v>
      </c>
      <c r="S99" s="41">
        <v>0</v>
      </c>
      <c r="T99" s="23" t="str">
        <f t="shared" ref="T99:AB108" si="69">IF(C99=0,"---",B99/C99)</f>
        <v>---</v>
      </c>
      <c r="U99" s="23" t="str">
        <f t="shared" si="69"/>
        <v>---</v>
      </c>
      <c r="V99" s="23" t="str">
        <f t="shared" si="69"/>
        <v>---</v>
      </c>
      <c r="W99" s="23" t="str">
        <f t="shared" si="69"/>
        <v>---</v>
      </c>
      <c r="X99" s="23" t="str">
        <f t="shared" si="69"/>
        <v>---</v>
      </c>
      <c r="Y99" s="23" t="str">
        <f t="shared" si="69"/>
        <v>---</v>
      </c>
      <c r="Z99" s="23" t="str">
        <f t="shared" si="69"/>
        <v>---</v>
      </c>
      <c r="AA99" s="23" t="str">
        <f t="shared" si="69"/>
        <v>---</v>
      </c>
      <c r="AB99" s="23" t="str">
        <f t="shared" si="69"/>
        <v>---</v>
      </c>
    </row>
    <row r="100" spans="1:28" ht="15.75" customHeight="1" x14ac:dyDescent="0.3">
      <c r="A100" s="21" t="s">
        <v>81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>
        <v>0</v>
      </c>
      <c r="H100" s="41">
        <v>0</v>
      </c>
      <c r="I100" s="41">
        <v>0</v>
      </c>
      <c r="J100" s="41">
        <v>0</v>
      </c>
      <c r="K100" s="41">
        <v>0</v>
      </c>
      <c r="L100" s="41">
        <v>0</v>
      </c>
      <c r="M100" s="41">
        <v>0</v>
      </c>
      <c r="N100" s="41">
        <v>0</v>
      </c>
      <c r="O100" s="41">
        <v>0</v>
      </c>
      <c r="P100" s="41">
        <v>0</v>
      </c>
      <c r="Q100" s="41">
        <v>0</v>
      </c>
      <c r="R100" s="41">
        <v>0</v>
      </c>
      <c r="S100" s="41">
        <v>0</v>
      </c>
      <c r="T100" s="23" t="str">
        <f t="shared" si="69"/>
        <v>---</v>
      </c>
      <c r="U100" s="23" t="str">
        <f t="shared" si="69"/>
        <v>---</v>
      </c>
      <c r="V100" s="23" t="str">
        <f t="shared" si="69"/>
        <v>---</v>
      </c>
      <c r="W100" s="23" t="str">
        <f t="shared" si="69"/>
        <v>---</v>
      </c>
      <c r="X100" s="23" t="str">
        <f t="shared" si="69"/>
        <v>---</v>
      </c>
      <c r="Y100" s="23" t="str">
        <f t="shared" si="69"/>
        <v>---</v>
      </c>
      <c r="Z100" s="23" t="str">
        <f t="shared" si="69"/>
        <v>---</v>
      </c>
      <c r="AA100" s="23" t="str">
        <f t="shared" si="69"/>
        <v>---</v>
      </c>
      <c r="AB100" s="23" t="str">
        <f t="shared" si="69"/>
        <v>---</v>
      </c>
    </row>
    <row r="101" spans="1:28" ht="15.75" customHeight="1" x14ac:dyDescent="0.3">
      <c r="A101" s="21" t="s">
        <v>82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23" t="str">
        <f t="shared" si="69"/>
        <v>---</v>
      </c>
      <c r="U101" s="23" t="str">
        <f t="shared" si="69"/>
        <v>---</v>
      </c>
      <c r="V101" s="23" t="str">
        <f t="shared" si="69"/>
        <v>---</v>
      </c>
      <c r="W101" s="23" t="str">
        <f t="shared" si="69"/>
        <v>---</v>
      </c>
      <c r="X101" s="23" t="str">
        <f t="shared" si="69"/>
        <v>---</v>
      </c>
      <c r="Y101" s="23" t="str">
        <f t="shared" si="69"/>
        <v>---</v>
      </c>
      <c r="Z101" s="23" t="str">
        <f t="shared" si="69"/>
        <v>---</v>
      </c>
      <c r="AA101" s="23" t="str">
        <f t="shared" si="69"/>
        <v>---</v>
      </c>
      <c r="AB101" s="23" t="str">
        <f t="shared" si="69"/>
        <v>---</v>
      </c>
    </row>
    <row r="102" spans="1:28" ht="15.75" customHeight="1" x14ac:dyDescent="0.3">
      <c r="A102" s="21" t="s">
        <v>83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23" t="str">
        <f t="shared" si="69"/>
        <v>---</v>
      </c>
      <c r="U102" s="23" t="str">
        <f t="shared" si="69"/>
        <v>---</v>
      </c>
      <c r="V102" s="23" t="str">
        <f t="shared" si="69"/>
        <v>---</v>
      </c>
      <c r="W102" s="23" t="str">
        <f t="shared" si="69"/>
        <v>---</v>
      </c>
      <c r="X102" s="23" t="str">
        <f t="shared" si="69"/>
        <v>---</v>
      </c>
      <c r="Y102" s="23" t="str">
        <f t="shared" si="69"/>
        <v>---</v>
      </c>
      <c r="Z102" s="23" t="str">
        <f t="shared" si="69"/>
        <v>---</v>
      </c>
      <c r="AA102" s="23" t="str">
        <f t="shared" si="69"/>
        <v>---</v>
      </c>
      <c r="AB102" s="23" t="str">
        <f t="shared" si="69"/>
        <v>---</v>
      </c>
    </row>
    <row r="103" spans="1:28" ht="15.75" customHeight="1" x14ac:dyDescent="0.3">
      <c r="A103" s="29" t="s">
        <v>84</v>
      </c>
      <c r="B103" s="29">
        <v>8894</v>
      </c>
      <c r="C103" s="29">
        <v>15254</v>
      </c>
      <c r="D103" s="29">
        <v>7769</v>
      </c>
      <c r="E103" s="29">
        <v>-6849</v>
      </c>
      <c r="F103" s="29">
        <v>13764</v>
      </c>
      <c r="G103" s="29">
        <v>-13772</v>
      </c>
      <c r="H103" s="29">
        <v>-7638</v>
      </c>
      <c r="I103" s="29">
        <v>-10705</v>
      </c>
      <c r="J103" s="29">
        <v>3738</v>
      </c>
      <c r="K103" s="45">
        <f t="shared" ref="K103:K105" si="70">B103/$B$83</f>
        <v>3.5869411788429353E-2</v>
      </c>
      <c r="L103" s="45">
        <f t="shared" ref="L103:L105" si="71">C103/$C$83</f>
        <v>6.864275975034087E-2</v>
      </c>
      <c r="M103" s="45">
        <f t="shared" ref="M103:M105" si="72">D103/$D$83</f>
        <v>3.5235957094586934E-2</v>
      </c>
      <c r="N103" s="45">
        <f t="shared" ref="N103:N105" si="73">E103/$E$83</f>
        <v>-3.0606772904805742E-2</v>
      </c>
      <c r="O103" s="45">
        <f t="shared" ref="O103:O105" si="74">F103/$F$83</f>
        <v>6.6368673060510058E-2</v>
      </c>
      <c r="P103" s="45">
        <f t="shared" ref="P103:P105" si="75">G103/$G$83</f>
        <v>-7.3371620973671031E-2</v>
      </c>
      <c r="Q103" s="45">
        <f t="shared" ref="Q103:Q105" si="76">H103/$H$83</f>
        <v>-4.5834233455749981E-2</v>
      </c>
      <c r="R103" s="45">
        <f t="shared" ref="R103:R105" si="77">I103/$I$83</f>
        <v>-5.9732723265351673E-2</v>
      </c>
      <c r="S103" s="45">
        <f t="shared" ref="S103:S105" si="78">J103/$J$83</f>
        <v>2.1752919884310315E-2</v>
      </c>
      <c r="T103" s="23">
        <f t="shared" si="69"/>
        <v>0.58306018093614786</v>
      </c>
      <c r="U103" s="23">
        <f t="shared" si="69"/>
        <v>1.9634444587462994</v>
      </c>
      <c r="V103" s="23">
        <f t="shared" si="69"/>
        <v>-1.1343261790042343</v>
      </c>
      <c r="W103" s="23">
        <f t="shared" si="69"/>
        <v>-0.49760244115082825</v>
      </c>
      <c r="X103" s="23">
        <f t="shared" si="69"/>
        <v>-0.99941911124019756</v>
      </c>
      <c r="Y103" s="23">
        <f t="shared" si="69"/>
        <v>1.8030898140874574</v>
      </c>
      <c r="Z103" s="23">
        <f t="shared" si="69"/>
        <v>0.71349836524988319</v>
      </c>
      <c r="AA103" s="23">
        <f t="shared" si="69"/>
        <v>-2.8638309256286782</v>
      </c>
      <c r="AB103" s="23">
        <f t="shared" si="69"/>
        <v>104211.35484596356</v>
      </c>
    </row>
    <row r="104" spans="1:28" ht="15.75" customHeight="1" x14ac:dyDescent="0.3">
      <c r="A104" s="21" t="s">
        <v>85</v>
      </c>
      <c r="B104" s="41">
        <v>-4942</v>
      </c>
      <c r="C104" s="41">
        <v>-4233</v>
      </c>
      <c r="D104" s="41">
        <v>-4590</v>
      </c>
      <c r="E104" s="41">
        <v>3271</v>
      </c>
      <c r="F104" s="41">
        <v>-2744</v>
      </c>
      <c r="G104" s="41">
        <v>11564</v>
      </c>
      <c r="H104" s="41">
        <v>1635</v>
      </c>
      <c r="I104" s="41">
        <v>1270</v>
      </c>
      <c r="J104" s="41">
        <v>254</v>
      </c>
      <c r="K104" s="25">
        <f t="shared" si="70"/>
        <v>-1.9931035873444778E-2</v>
      </c>
      <c r="L104" s="25">
        <f t="shared" si="71"/>
        <v>-1.9048433330483342E-2</v>
      </c>
      <c r="M104" s="25">
        <f t="shared" si="72"/>
        <v>-2.0817742703585277E-2</v>
      </c>
      <c r="N104" s="25">
        <f t="shared" si="73"/>
        <v>1.4617426510675951E-2</v>
      </c>
      <c r="O104" s="25">
        <f t="shared" si="74"/>
        <v>-1.3231301865594276E-2</v>
      </c>
      <c r="P104" s="25">
        <f t="shared" si="75"/>
        <v>6.1608293997932891E-2</v>
      </c>
      <c r="Q104" s="25">
        <f t="shared" si="76"/>
        <v>9.8113343414704401E-3</v>
      </c>
      <c r="R104" s="25">
        <f t="shared" si="77"/>
        <v>7.0864603967301844E-3</v>
      </c>
      <c r="S104" s="25">
        <f t="shared" si="78"/>
        <v>1.4781277824009683E-3</v>
      </c>
      <c r="T104" s="23">
        <f t="shared" si="69"/>
        <v>1.1674935034254665</v>
      </c>
      <c r="U104" s="23">
        <f t="shared" si="69"/>
        <v>0.92222222222222228</v>
      </c>
      <c r="V104" s="23">
        <f t="shared" si="69"/>
        <v>-1.403240599205136</v>
      </c>
      <c r="W104" s="23">
        <f t="shared" si="69"/>
        <v>-1.1920553935860059</v>
      </c>
      <c r="X104" s="23">
        <f t="shared" si="69"/>
        <v>-0.23728813559322035</v>
      </c>
      <c r="Y104" s="23">
        <f t="shared" si="69"/>
        <v>7.0727828746177366</v>
      </c>
      <c r="Z104" s="23">
        <f t="shared" si="69"/>
        <v>1.2874015748031495</v>
      </c>
      <c r="AA104" s="23">
        <f t="shared" si="69"/>
        <v>5</v>
      </c>
      <c r="AB104" s="23">
        <f t="shared" si="69"/>
        <v>-12743.943747470659</v>
      </c>
    </row>
    <row r="105" spans="1:28" ht="15.75" customHeight="1" x14ac:dyDescent="0.3">
      <c r="A105" s="21" t="s">
        <v>86</v>
      </c>
      <c r="B105" s="41">
        <v>3952</v>
      </c>
      <c r="C105" s="41">
        <v>11021</v>
      </c>
      <c r="D105" s="41">
        <v>3179</v>
      </c>
      <c r="E105" s="41">
        <v>-3578</v>
      </c>
      <c r="F105" s="41">
        <v>11020</v>
      </c>
      <c r="G105" s="41">
        <v>-2208</v>
      </c>
      <c r="H105" s="41">
        <v>-6003</v>
      </c>
      <c r="I105" s="41">
        <v>-9435</v>
      </c>
      <c r="J105" s="41">
        <v>3992</v>
      </c>
      <c r="K105" s="25">
        <f t="shared" si="70"/>
        <v>1.5938375914984575E-2</v>
      </c>
      <c r="L105" s="25">
        <f t="shared" si="71"/>
        <v>4.9594326419857532E-2</v>
      </c>
      <c r="M105" s="25">
        <f t="shared" si="72"/>
        <v>1.4418214391001655E-2</v>
      </c>
      <c r="N105" s="25">
        <f t="shared" si="73"/>
        <v>-1.5989346394129793E-2</v>
      </c>
      <c r="O105" s="25">
        <f t="shared" si="74"/>
        <v>5.3137371194915788E-2</v>
      </c>
      <c r="P105" s="25">
        <f t="shared" si="75"/>
        <v>-1.1763326975738139E-2</v>
      </c>
      <c r="Q105" s="25">
        <f t="shared" si="76"/>
        <v>-3.6022899114279541E-2</v>
      </c>
      <c r="R105" s="25">
        <f t="shared" si="77"/>
        <v>-5.2646262868621486E-2</v>
      </c>
      <c r="S105" s="25">
        <f t="shared" si="78"/>
        <v>2.3231047666711281E-2</v>
      </c>
      <c r="T105" s="23">
        <f t="shared" si="69"/>
        <v>0.35858814989565374</v>
      </c>
      <c r="U105" s="23">
        <f t="shared" si="69"/>
        <v>3.4668134633532559</v>
      </c>
      <c r="V105" s="23">
        <f t="shared" si="69"/>
        <v>-0.88848518725545</v>
      </c>
      <c r="W105" s="23">
        <f t="shared" si="69"/>
        <v>-0.32468239564428314</v>
      </c>
      <c r="X105" s="23">
        <f t="shared" si="69"/>
        <v>-4.9909420289855069</v>
      </c>
      <c r="Y105" s="23">
        <f t="shared" si="69"/>
        <v>0.36781609195402298</v>
      </c>
      <c r="Z105" s="23">
        <f t="shared" si="69"/>
        <v>0.63624801271860099</v>
      </c>
      <c r="AA105" s="23">
        <f t="shared" si="69"/>
        <v>-2.3634769539078158</v>
      </c>
      <c r="AB105" s="23">
        <f t="shared" si="69"/>
        <v>250464.66599190282</v>
      </c>
    </row>
    <row r="106" spans="1:28" ht="15.75" customHeight="1" x14ac:dyDescent="0.3">
      <c r="A106" s="21" t="s">
        <v>87</v>
      </c>
      <c r="B106" s="41">
        <v>0</v>
      </c>
      <c r="C106" s="41">
        <v>0</v>
      </c>
      <c r="D106" s="41">
        <v>0</v>
      </c>
      <c r="E106" s="41">
        <v>0</v>
      </c>
      <c r="F106" s="41">
        <v>0</v>
      </c>
      <c r="G106" s="41">
        <v>0</v>
      </c>
      <c r="H106" s="41">
        <v>0</v>
      </c>
      <c r="I106" s="41">
        <v>0</v>
      </c>
      <c r="J106" s="41">
        <v>0</v>
      </c>
      <c r="K106" s="41">
        <v>0</v>
      </c>
      <c r="L106" s="41">
        <v>0</v>
      </c>
      <c r="M106" s="41">
        <v>0</v>
      </c>
      <c r="N106" s="41">
        <v>0</v>
      </c>
      <c r="O106" s="41">
        <v>0</v>
      </c>
      <c r="P106" s="41">
        <v>0</v>
      </c>
      <c r="Q106" s="41">
        <v>0</v>
      </c>
      <c r="R106" s="41">
        <v>0</v>
      </c>
      <c r="S106" s="41">
        <v>0</v>
      </c>
      <c r="T106" s="23" t="str">
        <f t="shared" si="69"/>
        <v>---</v>
      </c>
      <c r="U106" s="23" t="str">
        <f t="shared" si="69"/>
        <v>---</v>
      </c>
      <c r="V106" s="23" t="str">
        <f t="shared" si="69"/>
        <v>---</v>
      </c>
      <c r="W106" s="23" t="str">
        <f t="shared" si="69"/>
        <v>---</v>
      </c>
      <c r="X106" s="23" t="str">
        <f t="shared" si="69"/>
        <v>---</v>
      </c>
      <c r="Y106" s="23" t="str">
        <f t="shared" si="69"/>
        <v>---</v>
      </c>
      <c r="Z106" s="23" t="str">
        <f t="shared" si="69"/>
        <v>---</v>
      </c>
      <c r="AA106" s="23" t="str">
        <f t="shared" si="69"/>
        <v>---</v>
      </c>
      <c r="AB106" s="23" t="str">
        <f t="shared" si="69"/>
        <v>---</v>
      </c>
    </row>
    <row r="107" spans="1:28" ht="15.75" customHeight="1" x14ac:dyDescent="0.3">
      <c r="A107" s="29" t="s">
        <v>88</v>
      </c>
      <c r="B107" s="29">
        <v>3952</v>
      </c>
      <c r="C107" s="29">
        <v>11021</v>
      </c>
      <c r="D107" s="29">
        <v>3179</v>
      </c>
      <c r="E107" s="29">
        <v>-3578</v>
      </c>
      <c r="F107" s="29">
        <v>11020</v>
      </c>
      <c r="G107" s="29">
        <v>-2208</v>
      </c>
      <c r="H107" s="29">
        <v>-6003</v>
      </c>
      <c r="I107" s="29">
        <v>-9435</v>
      </c>
      <c r="J107" s="29">
        <v>3992</v>
      </c>
      <c r="K107" s="45">
        <f>B107/$B$83</f>
        <v>1.5938375914984575E-2</v>
      </c>
      <c r="L107" s="45">
        <f>C107/$C$83</f>
        <v>4.9594326419857532E-2</v>
      </c>
      <c r="M107" s="45">
        <f>D107/$D$83</f>
        <v>1.4418214391001655E-2</v>
      </c>
      <c r="N107" s="45">
        <f>E107/$E$83</f>
        <v>-1.5989346394129793E-2</v>
      </c>
      <c r="O107" s="45">
        <f>F107/$F$83</f>
        <v>5.3137371194915788E-2</v>
      </c>
      <c r="P107" s="45">
        <f>G107/$G$83</f>
        <v>-1.1763326975738139E-2</v>
      </c>
      <c r="Q107" s="45">
        <f>H107/$H$83</f>
        <v>-3.6022899114279541E-2</v>
      </c>
      <c r="R107" s="45">
        <f>I107/$I$83</f>
        <v>-5.2646262868621486E-2</v>
      </c>
      <c r="S107" s="45">
        <f>J107/$J$83</f>
        <v>2.3231047666711281E-2</v>
      </c>
      <c r="T107" s="23">
        <f t="shared" si="69"/>
        <v>0.35858814989565374</v>
      </c>
      <c r="U107" s="23">
        <f t="shared" si="69"/>
        <v>3.4668134633532559</v>
      </c>
      <c r="V107" s="23">
        <f t="shared" si="69"/>
        <v>-0.88848518725545</v>
      </c>
      <c r="W107" s="23">
        <f t="shared" si="69"/>
        <v>-0.32468239564428314</v>
      </c>
      <c r="X107" s="23">
        <f t="shared" si="69"/>
        <v>-4.9909420289855069</v>
      </c>
      <c r="Y107" s="23">
        <f t="shared" si="69"/>
        <v>0.36781609195402298</v>
      </c>
      <c r="Z107" s="23">
        <f t="shared" si="69"/>
        <v>0.63624801271860099</v>
      </c>
      <c r="AA107" s="23">
        <f t="shared" si="69"/>
        <v>-2.3634769539078158</v>
      </c>
      <c r="AB107" s="23">
        <f t="shared" si="69"/>
        <v>250464.66599190282</v>
      </c>
    </row>
    <row r="108" spans="1:28" ht="15.75" customHeight="1" x14ac:dyDescent="0.3">
      <c r="A108" s="21" t="s">
        <v>89</v>
      </c>
      <c r="B108" s="41">
        <v>0</v>
      </c>
      <c r="C108" s="41">
        <v>0</v>
      </c>
      <c r="D108" s="41">
        <v>0</v>
      </c>
      <c r="E108" s="41">
        <v>0</v>
      </c>
      <c r="F108" s="41">
        <v>0</v>
      </c>
      <c r="G108" s="41">
        <v>0</v>
      </c>
      <c r="H108" s="41">
        <v>0</v>
      </c>
      <c r="I108" s="41">
        <v>0</v>
      </c>
      <c r="J108" s="41">
        <v>0</v>
      </c>
      <c r="K108" s="41">
        <v>0</v>
      </c>
      <c r="L108" s="41">
        <v>0</v>
      </c>
      <c r="M108" s="41">
        <v>0</v>
      </c>
      <c r="N108" s="41">
        <v>0</v>
      </c>
      <c r="O108" s="41">
        <v>0</v>
      </c>
      <c r="P108" s="41">
        <v>0</v>
      </c>
      <c r="Q108" s="41">
        <v>0</v>
      </c>
      <c r="R108" s="41">
        <v>0</v>
      </c>
      <c r="S108" s="41">
        <v>0</v>
      </c>
      <c r="T108" s="23" t="str">
        <f t="shared" si="69"/>
        <v>---</v>
      </c>
      <c r="U108" s="23" t="str">
        <f t="shared" si="69"/>
        <v>---</v>
      </c>
      <c r="V108" s="23" t="str">
        <f t="shared" si="69"/>
        <v>---</v>
      </c>
      <c r="W108" s="23" t="str">
        <f t="shared" si="69"/>
        <v>---</v>
      </c>
      <c r="X108" s="23" t="str">
        <f t="shared" si="69"/>
        <v>---</v>
      </c>
      <c r="Y108" s="23" t="str">
        <f t="shared" si="69"/>
        <v>---</v>
      </c>
      <c r="Z108" s="23" t="str">
        <f t="shared" si="69"/>
        <v>---</v>
      </c>
      <c r="AA108" s="23" t="str">
        <f t="shared" si="69"/>
        <v>---</v>
      </c>
      <c r="AB108" s="23" t="str">
        <f t="shared" si="69"/>
        <v>---</v>
      </c>
    </row>
    <row r="109" spans="1:28" ht="15.75" customHeight="1" x14ac:dyDescent="0.3"/>
    <row r="110" spans="1:28" ht="15.75" customHeight="1" x14ac:dyDescent="0.3"/>
    <row r="111" spans="1:28" ht="15.75" customHeight="1" x14ac:dyDescent="0.3"/>
    <row r="112" spans="1:28" ht="15.75" customHeight="1" x14ac:dyDescent="0.3"/>
    <row r="113" spans="4:4" ht="15.75" customHeight="1" x14ac:dyDescent="0.3"/>
    <row r="114" spans="4:4" ht="15.75" customHeight="1" x14ac:dyDescent="0.3"/>
    <row r="115" spans="4:4" ht="15.75" customHeight="1" x14ac:dyDescent="0.3"/>
    <row r="116" spans="4:4" ht="15.75" customHeight="1" x14ac:dyDescent="0.3"/>
    <row r="117" spans="4:4" ht="15.75" customHeight="1" x14ac:dyDescent="0.3"/>
    <row r="118" spans="4:4" ht="15.75" customHeight="1" x14ac:dyDescent="0.3"/>
    <row r="119" spans="4:4" ht="15.75" customHeight="1" x14ac:dyDescent="0.3"/>
    <row r="120" spans="4:4" ht="15.75" customHeight="1" x14ac:dyDescent="0.3"/>
    <row r="121" spans="4:4" ht="15.75" customHeight="1" x14ac:dyDescent="0.3"/>
    <row r="122" spans="4:4" ht="15.75" customHeight="1" x14ac:dyDescent="0.3"/>
    <row r="123" spans="4:4" ht="15.75" customHeight="1" x14ac:dyDescent="0.3"/>
    <row r="124" spans="4:4" ht="15.75" customHeight="1" x14ac:dyDescent="0.3"/>
    <row r="125" spans="4:4" ht="15.75" customHeight="1" x14ac:dyDescent="0.3">
      <c r="D125" s="47"/>
    </row>
    <row r="126" spans="4:4" ht="15.75" customHeight="1" x14ac:dyDescent="0.3"/>
    <row r="127" spans="4:4" ht="15.75" customHeight="1" x14ac:dyDescent="0.3"/>
    <row r="128" spans="4:4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spans="6:6" ht="15.75" customHeight="1" x14ac:dyDescent="0.3"/>
    <row r="146" spans="6:6" ht="15.75" customHeight="1" x14ac:dyDescent="0.3"/>
    <row r="147" spans="6:6" ht="15.75" customHeight="1" x14ac:dyDescent="0.3"/>
    <row r="148" spans="6:6" ht="15.75" customHeight="1" x14ac:dyDescent="0.3"/>
    <row r="149" spans="6:6" ht="15.75" customHeight="1" x14ac:dyDescent="0.3"/>
    <row r="150" spans="6:6" ht="15.75" customHeight="1" x14ac:dyDescent="0.3"/>
    <row r="151" spans="6:6" ht="15.75" customHeight="1" x14ac:dyDescent="0.3"/>
    <row r="152" spans="6:6" ht="15.75" customHeight="1" x14ac:dyDescent="0.3"/>
    <row r="153" spans="6:6" ht="15.75" customHeight="1" x14ac:dyDescent="0.3"/>
    <row r="154" spans="6:6" ht="15.75" customHeight="1" x14ac:dyDescent="0.3"/>
    <row r="155" spans="6:6" ht="15.75" customHeight="1" x14ac:dyDescent="0.3"/>
    <row r="156" spans="6:6" ht="15.75" customHeight="1" x14ac:dyDescent="0.3"/>
    <row r="157" spans="6:6" ht="15.75" customHeight="1" x14ac:dyDescent="0.3"/>
    <row r="158" spans="6:6" ht="15.75" customHeight="1" x14ac:dyDescent="0.3"/>
    <row r="159" spans="6:6" ht="15.75" customHeight="1" x14ac:dyDescent="0.3"/>
    <row r="160" spans="6:6" ht="15.75" customHeight="1" x14ac:dyDescent="0.3">
      <c r="F160" s="30">
        <v>182991</v>
      </c>
    </row>
    <row r="161" spans="6:6" ht="15.75" customHeight="1" x14ac:dyDescent="0.3">
      <c r="F161" s="42">
        <v>-136928</v>
      </c>
    </row>
    <row r="162" spans="6:6" ht="15.75" customHeight="1" x14ac:dyDescent="0.3">
      <c r="F162" s="30">
        <v>46063</v>
      </c>
    </row>
    <row r="163" spans="6:6" ht="15.75" customHeight="1" x14ac:dyDescent="0.3">
      <c r="F163" s="41">
        <v>-13809</v>
      </c>
    </row>
    <row r="164" spans="6:6" ht="15.75" customHeight="1" x14ac:dyDescent="0.3">
      <c r="F164" s="41">
        <v>-13261</v>
      </c>
    </row>
    <row r="165" spans="6:6" ht="15.75" customHeight="1" x14ac:dyDescent="0.3">
      <c r="F165" s="41">
        <v>748</v>
      </c>
    </row>
    <row r="166" spans="6:6" ht="15.75" customHeight="1" x14ac:dyDescent="0.3">
      <c r="F166" s="41">
        <v>0</v>
      </c>
    </row>
    <row r="167" spans="6:6" ht="15.75" customHeight="1" x14ac:dyDescent="0.3">
      <c r="F167" s="41">
        <v>0</v>
      </c>
    </row>
    <row r="168" spans="6:6" ht="15.75" customHeight="1" x14ac:dyDescent="0.3">
      <c r="F168" s="30">
        <v>19741</v>
      </c>
    </row>
    <row r="169" spans="6:6" ht="15.75" customHeight="1" x14ac:dyDescent="0.3">
      <c r="F169" s="41">
        <v>0</v>
      </c>
    </row>
    <row r="170" spans="6:6" ht="15.75" customHeight="1" x14ac:dyDescent="0.3">
      <c r="F170" s="41">
        <v>0</v>
      </c>
    </row>
    <row r="171" spans="6:6" ht="15.75" customHeight="1" x14ac:dyDescent="0.3">
      <c r="F171" s="41">
        <v>0</v>
      </c>
    </row>
    <row r="172" spans="6:6" ht="15.75" customHeight="1" x14ac:dyDescent="0.3">
      <c r="F172" s="41">
        <v>-2471</v>
      </c>
    </row>
    <row r="173" spans="6:6" ht="15.75" customHeight="1" x14ac:dyDescent="0.3">
      <c r="F173" s="41">
        <v>0</v>
      </c>
    </row>
    <row r="174" spans="6:6" ht="15.75" customHeight="1" x14ac:dyDescent="0.3">
      <c r="F174" s="41">
        <v>0</v>
      </c>
    </row>
    <row r="175" spans="6:6" ht="15.75" customHeight="1" x14ac:dyDescent="0.3">
      <c r="F175" s="41">
        <v>-627</v>
      </c>
    </row>
    <row r="176" spans="6:6" ht="15.75" customHeight="1" x14ac:dyDescent="0.3">
      <c r="F176" s="41">
        <v>0</v>
      </c>
    </row>
    <row r="177" spans="6:6" ht="15.75" customHeight="1" x14ac:dyDescent="0.3">
      <c r="F177" s="41">
        <v>0</v>
      </c>
    </row>
    <row r="178" spans="6:6" ht="15.75" customHeight="1" x14ac:dyDescent="0.3">
      <c r="F178" s="41">
        <v>0</v>
      </c>
    </row>
    <row r="179" spans="6:6" ht="15.75" customHeight="1" x14ac:dyDescent="0.3">
      <c r="F179" s="41">
        <v>0</v>
      </c>
    </row>
    <row r="180" spans="6:6" ht="15.75" customHeight="1" x14ac:dyDescent="0.3">
      <c r="F180" s="29">
        <v>16643</v>
      </c>
    </row>
    <row r="181" spans="6:6" ht="15.75" customHeight="1" x14ac:dyDescent="0.3">
      <c r="F181" s="41">
        <v>-575</v>
      </c>
    </row>
    <row r="182" spans="6:6" ht="15.75" customHeight="1" x14ac:dyDescent="0.3">
      <c r="F182" s="41">
        <v>16068</v>
      </c>
    </row>
    <row r="183" spans="6:6" ht="15.75" customHeight="1" x14ac:dyDescent="0.3">
      <c r="F183" s="41">
        <v>0</v>
      </c>
    </row>
    <row r="184" spans="6:6" ht="15.75" customHeight="1" x14ac:dyDescent="0.3">
      <c r="F184" s="29">
        <v>16068</v>
      </c>
    </row>
    <row r="185" spans="6:6" ht="15.75" customHeight="1" x14ac:dyDescent="0.3">
      <c r="F185" s="29">
        <v>0</v>
      </c>
    </row>
    <row r="186" spans="6:6" ht="15.75" customHeight="1" x14ac:dyDescent="0.3">
      <c r="F186" s="29">
        <v>0</v>
      </c>
    </row>
    <row r="187" spans="6:6" ht="15.75" customHeight="1" x14ac:dyDescent="0.3">
      <c r="F187" s="41">
        <v>156</v>
      </c>
    </row>
    <row r="188" spans="6:6" ht="15.75" customHeight="1" x14ac:dyDescent="0.3">
      <c r="F188" s="41">
        <v>0</v>
      </c>
    </row>
    <row r="189" spans="6:6" ht="15.75" customHeight="1" x14ac:dyDescent="0.3">
      <c r="F189" s="41">
        <v>156</v>
      </c>
    </row>
    <row r="190" spans="6:6" ht="15.75" customHeight="1" x14ac:dyDescent="0.3">
      <c r="F190" s="41">
        <v>0</v>
      </c>
    </row>
    <row r="191" spans="6:6" ht="15.75" customHeight="1" x14ac:dyDescent="0.3">
      <c r="F191" s="41">
        <v>0</v>
      </c>
    </row>
    <row r="192" spans="6:6" ht="15.75" customHeight="1" x14ac:dyDescent="0.3">
      <c r="F192" s="41">
        <v>0</v>
      </c>
    </row>
    <row r="193" spans="6:6" ht="15.75" customHeight="1" x14ac:dyDescent="0.3">
      <c r="F193" s="29">
        <v>0</v>
      </c>
    </row>
    <row r="194" spans="6:6" ht="15.75" customHeight="1" x14ac:dyDescent="0.3">
      <c r="F194" s="41">
        <v>156</v>
      </c>
    </row>
    <row r="195" spans="6:6" ht="15.75" customHeight="1" x14ac:dyDescent="0.3">
      <c r="F195" s="41">
        <v>0</v>
      </c>
    </row>
    <row r="196" spans="6:6" ht="15.75" customHeight="1" x14ac:dyDescent="0.3">
      <c r="F196" s="41">
        <v>156</v>
      </c>
    </row>
    <row r="197" spans="6:6" ht="15.75" customHeight="1" x14ac:dyDescent="0.3">
      <c r="F197" s="41">
        <v>0</v>
      </c>
    </row>
    <row r="198" spans="6:6" ht="15.75" customHeight="1" x14ac:dyDescent="0.3">
      <c r="F198" s="41">
        <v>0</v>
      </c>
    </row>
    <row r="199" spans="6:6" ht="15.75" customHeight="1" x14ac:dyDescent="0.3">
      <c r="F199" s="41">
        <v>0</v>
      </c>
    </row>
    <row r="200" spans="6:6" ht="15.75" customHeight="1" x14ac:dyDescent="0.3"/>
    <row r="201" spans="6:6" ht="15.75" customHeight="1" x14ac:dyDescent="0.3"/>
    <row r="202" spans="6:6" ht="15.75" customHeight="1" x14ac:dyDescent="0.3"/>
    <row r="203" spans="6:6" ht="15.75" customHeight="1" x14ac:dyDescent="0.3"/>
    <row r="204" spans="6:6" ht="15.75" customHeight="1" x14ac:dyDescent="0.3"/>
    <row r="205" spans="6:6" ht="15.75" customHeight="1" x14ac:dyDescent="0.3"/>
    <row r="206" spans="6:6" ht="15.75" customHeight="1" x14ac:dyDescent="0.3"/>
    <row r="207" spans="6:6" ht="15.75" customHeight="1" x14ac:dyDescent="0.3"/>
    <row r="208" spans="6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2:J2"/>
    <mergeCell ref="K2:S2"/>
    <mergeCell ref="T2:AB2"/>
  </mergeCells>
  <conditionalFormatting sqref="T6:AB20 T22:AB79">
    <cfRule type="expression" dxfId="5" priority="1">
      <formula>T6="---"</formula>
    </cfRule>
    <cfRule type="expression" dxfId="4" priority="2">
      <formula>T6&lt;1</formula>
    </cfRule>
    <cfRule type="expression" dxfId="3" priority="3">
      <formula>T6&gt;=1</formula>
    </cfRule>
  </conditionalFormatting>
  <conditionalFormatting sqref="T83:AB108">
    <cfRule type="expression" dxfId="2" priority="4">
      <formula>T83="---"</formula>
    </cfRule>
    <cfRule type="expression" dxfId="1" priority="5">
      <formula>T83&lt;1</formula>
    </cfRule>
    <cfRule type="expression" dxfId="0" priority="6">
      <formula>T83&gt;=1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ESF - Evaluacion Vertical y hor</vt:lpstr>
      <vt:lpstr>Evaluacion vertical y horizonta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Villena</dc:creator>
  <cp:lastModifiedBy>Ricardo Villena</cp:lastModifiedBy>
  <dcterms:created xsi:type="dcterms:W3CDTF">2026-10-03T01:48:09Z</dcterms:created>
  <dcterms:modified xsi:type="dcterms:W3CDTF">2026-10-03T01:49:10Z</dcterms:modified>
</cp:coreProperties>
</file>